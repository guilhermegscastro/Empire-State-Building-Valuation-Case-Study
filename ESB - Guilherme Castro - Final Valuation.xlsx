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8d2e6b5b813af4a/Área de Trabalho/ARGUS/Empire State Building/"/>
    </mc:Choice>
  </mc:AlternateContent>
  <xr:revisionPtr revIDLastSave="355" documentId="13_ncr:1_{13CFDE08-73F0-4A8F-B226-6FD1265893B0}" xr6:coauthVersionLast="47" xr6:coauthVersionMax="47" xr10:uidLastSave="{25DEF6E0-4D8C-4CB0-A237-45FBAF7472D2}"/>
  <bookViews>
    <workbookView xWindow="-108" yWindow="-108" windowWidth="23256" windowHeight="12456" firstSheet="1" activeTab="1" xr2:uid="{E1835F2C-0718-46B5-BB60-D63FA5DBF189}"/>
  </bookViews>
  <sheets>
    <sheet name="Instructions" sheetId="9" r:id="rId1"/>
    <sheet name="Property Summary" sheetId="16" r:id="rId2"/>
    <sheet name="Observatory Analysis" sheetId="15" r:id="rId3"/>
    <sheet name="Building Analysis" sheetId="6" r:id="rId4"/>
    <sheet name="ARGUS MLAs" sheetId="8" r:id="rId5"/>
    <sheet name="Proforma" sheetId="11" r:id="rId6"/>
    <sheet name="Loan Amortization" sheetId="7" r:id="rId7"/>
    <sheet name="Waterfall Model" sheetId="10" r:id="rId8"/>
    <sheet name="PASTE ARGUS EXPORTS&gt;&gt;&gt;" sheetId="14" r:id="rId9"/>
    <sheet name="Argus Cash Flow Drop" sheetId="3" r:id="rId10"/>
    <sheet name="Rent Roll Drop" sheetId="4" r:id="rId11"/>
    <sheet name="CONFIG" sheetId="13" r:id="rId12"/>
  </sheets>
  <definedNames>
    <definedName name="SheetState" hidden="1">"'2:-1:-1"</definedName>
    <definedName name="wrn.REPORT1." hidden="1">{"VIEW1",#N/A,TRUE,"NO DECK";"VIEW2",#N/A,TRUE,"NO DECK";"VIEW3",#N/A,TRUE,"NO DECK";"VIEW4",#N/A,TRUE,"NO DECK"}</definedName>
    <definedName name="wrn.REPORT2." hidden="1">{"VIEW1",#N/A,FALSE,"VESTA2";"VIEW2",#N/A,FALSE,"VESTA2";"VIEW3",#N/A,FALSE,"VESTA2";"VIEW4",#N/A,FALSE,"VESTA2"}</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8" l="1"/>
  <c r="I10" i="8"/>
  <c r="I6" i="8" l="1"/>
  <c r="Q35" i="8"/>
  <c r="P35" i="8"/>
  <c r="O35" i="8"/>
  <c r="N35" i="8"/>
  <c r="M35" i="8"/>
  <c r="Q31" i="8"/>
  <c r="P31" i="8"/>
  <c r="O31" i="8"/>
  <c r="N31" i="8"/>
  <c r="M31" i="8"/>
  <c r="Q27" i="8"/>
  <c r="P27" i="8"/>
  <c r="O27" i="8"/>
  <c r="N27" i="8"/>
  <c r="M27" i="8"/>
  <c r="Q6" i="8"/>
  <c r="Q7" i="8" s="1"/>
  <c r="Q8" i="8" s="1"/>
  <c r="Q9" i="8" s="1"/>
  <c r="Q10" i="8" s="1"/>
  <c r="Q11" i="8" s="1"/>
  <c r="Q12" i="8" s="1"/>
  <c r="Q13" i="8" s="1"/>
  <c r="Q14" i="8" s="1"/>
  <c r="Q20" i="8"/>
  <c r="P20" i="8"/>
  <c r="O20" i="8"/>
  <c r="N20" i="8"/>
  <c r="M20" i="8"/>
  <c r="P6" i="8"/>
  <c r="P7" i="8" s="1"/>
  <c r="P8" i="8" s="1"/>
  <c r="P9" i="8" s="1"/>
  <c r="P10" i="8" s="1"/>
  <c r="P11" i="8" s="1"/>
  <c r="P12" i="8" s="1"/>
  <c r="P13" i="8" s="1"/>
  <c r="P14" i="8" s="1"/>
  <c r="O6" i="8"/>
  <c r="O7" i="8" s="1"/>
  <c r="O8" i="8" s="1"/>
  <c r="O9" i="8" s="1"/>
  <c r="O10" i="8" s="1"/>
  <c r="O11" i="8" s="1"/>
  <c r="O12" i="8" s="1"/>
  <c r="O13" i="8" s="1"/>
  <c r="O14" i="8" s="1"/>
  <c r="N6" i="8"/>
  <c r="N7" i="8" s="1"/>
  <c r="N8" i="8" s="1"/>
  <c r="N9" i="8" s="1"/>
  <c r="N10" i="8" s="1"/>
  <c r="N11" i="8" s="1"/>
  <c r="N12" i="8" s="1"/>
  <c r="N13" i="8" s="1"/>
  <c r="N14" i="8" s="1"/>
  <c r="M6" i="8"/>
  <c r="M7" i="8" s="1"/>
  <c r="M8" i="8" s="1"/>
  <c r="M9" i="8" s="1"/>
  <c r="M10" i="8" s="1"/>
  <c r="M11" i="8" s="1"/>
  <c r="M12" i="8" s="1"/>
  <c r="M13" i="8" s="1"/>
  <c r="M14" i="8" s="1"/>
  <c r="G10" i="6"/>
  <c r="B33" i="6"/>
  <c r="J45" i="16"/>
  <c r="F45" i="16"/>
  <c r="J5" i="10"/>
  <c r="I5" i="10"/>
  <c r="H5" i="10"/>
  <c r="G5" i="10"/>
  <c r="F5" i="10"/>
  <c r="E5" i="10"/>
  <c r="E4" i="10"/>
  <c r="C70" i="15"/>
  <c r="C11" i="15"/>
  <c r="B21" i="16"/>
  <c r="B20" i="16"/>
  <c r="ET11" i="10"/>
  <c r="ES11" i="10"/>
  <c r="ER11" i="10"/>
  <c r="EQ11" i="10"/>
  <c r="EP11" i="10"/>
  <c r="EO11" i="10"/>
  <c r="EN11" i="10"/>
  <c r="EM11" i="10"/>
  <c r="EL11" i="10"/>
  <c r="EK11" i="10"/>
  <c r="EJ11" i="10"/>
  <c r="EI11" i="10"/>
  <c r="EH11" i="10"/>
  <c r="EG11" i="10"/>
  <c r="EF11" i="10"/>
  <c r="EE11" i="10"/>
  <c r="ED11" i="10"/>
  <c r="EC11" i="10"/>
  <c r="EB11" i="10"/>
  <c r="EA11" i="10"/>
  <c r="DZ11" i="10"/>
  <c r="DY11" i="10"/>
  <c r="DX11" i="10"/>
  <c r="DW11" i="10"/>
  <c r="DV11" i="10"/>
  <c r="DU11" i="10"/>
  <c r="DT11" i="10"/>
  <c r="DS11" i="10"/>
  <c r="DR11" i="10"/>
  <c r="DQ11" i="10"/>
  <c r="DP11" i="10"/>
  <c r="DO11" i="10"/>
  <c r="DN11" i="10"/>
  <c r="DM11" i="10"/>
  <c r="DL11" i="10"/>
  <c r="DK11" i="10"/>
  <c r="DJ11" i="10"/>
  <c r="DI11" i="10"/>
  <c r="DH11" i="10"/>
  <c r="DG11" i="10"/>
  <c r="DF11" i="10"/>
  <c r="DE11" i="10"/>
  <c r="DD11" i="10"/>
  <c r="DC11" i="10"/>
  <c r="DB11" i="10"/>
  <c r="DA11" i="10"/>
  <c r="CZ11" i="10"/>
  <c r="CY11" i="10"/>
  <c r="CX11" i="10"/>
  <c r="CW11" i="10"/>
  <c r="CV11" i="10"/>
  <c r="CU11" i="10"/>
  <c r="CT11" i="10"/>
  <c r="CS11" i="10"/>
  <c r="CR11" i="10"/>
  <c r="CQ11" i="10"/>
  <c r="CP11" i="10"/>
  <c r="CO11" i="10"/>
  <c r="CN11" i="10"/>
  <c r="CM11" i="10"/>
  <c r="CL11" i="10"/>
  <c r="CK11" i="10"/>
  <c r="CJ11" i="10"/>
  <c r="CI11" i="10"/>
  <c r="CH11" i="10"/>
  <c r="CG11" i="10"/>
  <c r="CF11" i="10"/>
  <c r="CE11" i="10"/>
  <c r="CD11" i="10"/>
  <c r="CC11" i="10"/>
  <c r="CB11" i="10"/>
  <c r="CA11" i="10"/>
  <c r="BZ11" i="10"/>
  <c r="BY11" i="10"/>
  <c r="BX11" i="10"/>
  <c r="BW11" i="10"/>
  <c r="BV11" i="10"/>
  <c r="BU11" i="10"/>
  <c r="BT11" i="10"/>
  <c r="BS11" i="10"/>
  <c r="BR11" i="10"/>
  <c r="BQ11" i="10"/>
  <c r="BP11" i="10"/>
  <c r="BO11" i="10"/>
  <c r="BN11" i="10"/>
  <c r="BM11" i="10"/>
  <c r="BL11" i="10"/>
  <c r="BK11" i="10"/>
  <c r="BJ11" i="10"/>
  <c r="BI11" i="10"/>
  <c r="BH11" i="10"/>
  <c r="BG11" i="10"/>
  <c r="BF11" i="10"/>
  <c r="BE11" i="10"/>
  <c r="BD11" i="10"/>
  <c r="BC11" i="10"/>
  <c r="BB11" i="10"/>
  <c r="BA11" i="10"/>
  <c r="AZ11" i="10"/>
  <c r="AY11" i="10"/>
  <c r="AX11" i="10"/>
  <c r="AW11" i="10"/>
  <c r="AV11" i="10"/>
  <c r="AU11" i="10"/>
  <c r="AT11" i="10"/>
  <c r="AS11" i="10"/>
  <c r="AR11" i="10"/>
  <c r="AQ11" i="10"/>
  <c r="AP11" i="10"/>
  <c r="AO11" i="10"/>
  <c r="AN11" i="10"/>
  <c r="AM11" i="10"/>
  <c r="AL11" i="10"/>
  <c r="AK11" i="10"/>
  <c r="AJ11" i="10"/>
  <c r="AI11" i="10"/>
  <c r="AH11" i="10"/>
  <c r="AG11" i="10"/>
  <c r="AF11" i="10"/>
  <c r="AE11" i="10"/>
  <c r="AD11" i="10"/>
  <c r="AC11" i="10"/>
  <c r="AB11" i="10"/>
  <c r="AA11" i="10"/>
  <c r="Z11" i="10"/>
  <c r="Y11" i="10"/>
  <c r="X11" i="10"/>
  <c r="W11" i="10"/>
  <c r="V11" i="10"/>
  <c r="U11" i="10"/>
  <c r="T11" i="10"/>
  <c r="S11" i="10"/>
  <c r="J4" i="10"/>
  <c r="I4" i="10"/>
  <c r="H4" i="10"/>
  <c r="G4" i="10"/>
  <c r="F4" i="10"/>
  <c r="A31" i="16"/>
  <c r="I31" i="16"/>
  <c r="H31" i="16"/>
  <c r="D7" i="7"/>
  <c r="D6" i="7"/>
  <c r="D5" i="7"/>
  <c r="D6" i="6"/>
  <c r="D2" i="15" s="1"/>
  <c r="D4" i="6"/>
  <c r="D3" i="6"/>
  <c r="D7" i="6"/>
  <c r="B4" i="6"/>
  <c r="B3" i="6"/>
  <c r="G60" i="16"/>
  <c r="F60" i="16"/>
  <c r="E60" i="16"/>
  <c r="D60" i="16"/>
  <c r="B60" i="16"/>
  <c r="M51" i="16"/>
  <c r="L51" i="16"/>
  <c r="K51" i="16"/>
  <c r="J51" i="16"/>
  <c r="I51" i="16"/>
  <c r="H51" i="16"/>
  <c r="G51" i="16"/>
  <c r="F51" i="16"/>
  <c r="Y50" i="16"/>
  <c r="Y51" i="16" s="1"/>
  <c r="S50" i="16"/>
  <c r="S51" i="16" s="1"/>
  <c r="M50" i="16"/>
  <c r="L50" i="16"/>
  <c r="K50" i="16"/>
  <c r="J50" i="16"/>
  <c r="I50" i="16"/>
  <c r="H50" i="16"/>
  <c r="G50" i="16"/>
  <c r="F50" i="16"/>
  <c r="M49" i="16"/>
  <c r="L49" i="16"/>
  <c r="K49" i="16"/>
  <c r="J49" i="16"/>
  <c r="I49" i="16"/>
  <c r="H49" i="16"/>
  <c r="G49" i="16"/>
  <c r="F49" i="16"/>
  <c r="Y48" i="16"/>
  <c r="Y47" i="16" s="1"/>
  <c r="S48" i="16"/>
  <c r="M48" i="16"/>
  <c r="L48" i="16"/>
  <c r="K48" i="16"/>
  <c r="J48" i="16"/>
  <c r="I48" i="16"/>
  <c r="H48" i="16"/>
  <c r="G48" i="16"/>
  <c r="F48" i="16"/>
  <c r="M47" i="16"/>
  <c r="L47" i="16"/>
  <c r="K47" i="16"/>
  <c r="J47" i="16"/>
  <c r="I47" i="16"/>
  <c r="H47" i="16"/>
  <c r="G47" i="16"/>
  <c r="F47" i="16"/>
  <c r="AB46" i="16"/>
  <c r="L46" i="16" s="1"/>
  <c r="AA46" i="16"/>
  <c r="K46" i="16" s="1"/>
  <c r="Z46" i="16"/>
  <c r="J46" i="16" s="1"/>
  <c r="V46" i="16"/>
  <c r="H46" i="16" s="1"/>
  <c r="U46" i="16"/>
  <c r="G46" i="16" s="1"/>
  <c r="T46" i="16"/>
  <c r="F46" i="16" s="1"/>
  <c r="M46" i="16"/>
  <c r="I46" i="16"/>
  <c r="B26" i="16"/>
  <c r="B25" i="16"/>
  <c r="M17" i="16"/>
  <c r="M31" i="16" s="1"/>
  <c r="L17" i="16"/>
  <c r="K17" i="16"/>
  <c r="K31" i="16" s="1"/>
  <c r="J17" i="16"/>
  <c r="J31" i="16" s="1"/>
  <c r="I17" i="16"/>
  <c r="H17" i="16"/>
  <c r="G17" i="16"/>
  <c r="F17" i="16"/>
  <c r="E17" i="16"/>
  <c r="D17" i="16"/>
  <c r="D31" i="16" s="1"/>
  <c r="C17" i="16"/>
  <c r="C31" i="16" s="1"/>
  <c r="B17" i="16"/>
  <c r="B15" i="16"/>
  <c r="D4" i="7" s="1"/>
  <c r="K14" i="16"/>
  <c r="K13" i="16"/>
  <c r="K12" i="16"/>
  <c r="K11" i="16"/>
  <c r="K10" i="16"/>
  <c r="K9" i="16"/>
  <c r="C9" i="16"/>
  <c r="D8" i="16"/>
  <c r="G3" i="16"/>
  <c r="C8" i="15"/>
  <c r="B8" i="15"/>
  <c r="A49" i="15"/>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B27" i="16" l="1"/>
  <c r="S47" i="16"/>
  <c r="C71" i="15"/>
  <c r="A71" i="15"/>
  <c r="F55" i="11"/>
  <c r="C37" i="16" s="1"/>
  <c r="G3" i="6"/>
  <c r="E46" i="11"/>
  <c r="F47" i="11"/>
  <c r="A47" i="11"/>
  <c r="C9" i="6"/>
  <c r="A2" i="11"/>
  <c r="A1" i="11"/>
  <c r="E4" i="11"/>
  <c r="B18" i="16" s="1"/>
  <c r="B36" i="6"/>
  <c r="F4" i="11" l="1"/>
  <c r="C18" i="16" s="1"/>
  <c r="D11" i="15"/>
  <c r="C12" i="15"/>
  <c r="C13" i="15" s="1"/>
  <c r="A72" i="15"/>
  <c r="E52" i="11"/>
  <c r="E42" i="6"/>
  <c r="D42" i="6"/>
  <c r="C42" i="6"/>
  <c r="B42" i="6"/>
  <c r="E41" i="6"/>
  <c r="D41" i="6"/>
  <c r="C41" i="6"/>
  <c r="B41" i="6"/>
  <c r="E40" i="6"/>
  <c r="D40" i="6"/>
  <c r="C40" i="6"/>
  <c r="B40" i="6"/>
  <c r="E39" i="6"/>
  <c r="D39" i="6"/>
  <c r="C39" i="6"/>
  <c r="B39" i="6"/>
  <c r="E38" i="6"/>
  <c r="D38" i="6"/>
  <c r="C38" i="6"/>
  <c r="B38" i="6"/>
  <c r="E37" i="6"/>
  <c r="S41" i="6"/>
  <c r="S42" i="6" s="1"/>
  <c r="S39" i="6"/>
  <c r="S38" i="6" s="1"/>
  <c r="V37" i="6"/>
  <c r="D37" i="6" s="1"/>
  <c r="U37" i="6"/>
  <c r="C37" i="6" s="1"/>
  <c r="T37" i="6"/>
  <c r="B37" i="6" s="1"/>
  <c r="C21" i="16" l="1"/>
  <c r="C16" i="15"/>
  <c r="C9" i="15"/>
  <c r="B9" i="15" s="1"/>
  <c r="C72" i="15"/>
  <c r="D12" i="15"/>
  <c r="D13" i="15" s="1"/>
  <c r="E11" i="15"/>
  <c r="A73" i="15"/>
  <c r="B26" i="6"/>
  <c r="C18" i="6"/>
  <c r="C17" i="6"/>
  <c r="B17" i="6"/>
  <c r="A31" i="6"/>
  <c r="D8" i="6"/>
  <c r="D21" i="16" l="1"/>
  <c r="E12" i="15"/>
  <c r="E13" i="15" s="1"/>
  <c r="F11" i="15"/>
  <c r="C73" i="15"/>
  <c r="A74" i="15"/>
  <c r="A75" i="15" s="1"/>
  <c r="A76" i="15" s="1"/>
  <c r="A77" i="15" s="1"/>
  <c r="A78" i="15" s="1"/>
  <c r="A79" i="15" s="1"/>
  <c r="A80" i="15" s="1"/>
  <c r="A81" i="15" s="1"/>
  <c r="E48" i="10"/>
  <c r="E40" i="10"/>
  <c r="E32" i="10"/>
  <c r="E23" i="10"/>
  <c r="E17" i="10"/>
  <c r="E49" i="10"/>
  <c r="E41" i="10"/>
  <c r="E33" i="10"/>
  <c r="E24" i="10"/>
  <c r="E18" i="10"/>
  <c r="C31" i="6"/>
  <c r="I8" i="6"/>
  <c r="E21" i="16" l="1"/>
  <c r="F12" i="15"/>
  <c r="F13" i="15" s="1"/>
  <c r="G11" i="15"/>
  <c r="C74" i="15"/>
  <c r="M9" i="6"/>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1" i="4"/>
  <c r="A10" i="4"/>
  <c r="A9" i="4"/>
  <c r="A8" i="4"/>
  <c r="A7" i="4"/>
  <c r="A6" i="4"/>
  <c r="A5" i="4"/>
  <c r="A4" i="4"/>
  <c r="A3" i="4"/>
  <c r="A2" i="4"/>
  <c r="A12" i="4"/>
  <c r="ET8" i="10"/>
  <c r="ES8" i="10"/>
  <c r="ER8" i="10"/>
  <c r="EQ8" i="10"/>
  <c r="EP8" i="10"/>
  <c r="EO8" i="10"/>
  <c r="EN8" i="10"/>
  <c r="EM8" i="10"/>
  <c r="EL8" i="10"/>
  <c r="EK8" i="10"/>
  <c r="EJ8" i="10"/>
  <c r="EI8" i="10"/>
  <c r="EH8" i="10"/>
  <c r="EG8" i="10"/>
  <c r="EF8" i="10"/>
  <c r="EE8" i="10"/>
  <c r="ED8" i="10"/>
  <c r="EC8" i="10"/>
  <c r="EB8" i="10"/>
  <c r="EA8" i="10"/>
  <c r="DZ8" i="10"/>
  <c r="DY8" i="10"/>
  <c r="DX8" i="10"/>
  <c r="DW8" i="10"/>
  <c r="DV8" i="10"/>
  <c r="DU8" i="10"/>
  <c r="DT8" i="10"/>
  <c r="DS8" i="10"/>
  <c r="DR8" i="10"/>
  <c r="DQ8" i="10"/>
  <c r="DP8" i="10"/>
  <c r="DO8" i="10"/>
  <c r="DN8" i="10"/>
  <c r="DM8" i="10"/>
  <c r="DL8" i="10"/>
  <c r="DK8" i="10"/>
  <c r="DJ8" i="10"/>
  <c r="DI8" i="10"/>
  <c r="DH8" i="10"/>
  <c r="DG8" i="10"/>
  <c r="DF8" i="10"/>
  <c r="DE8" i="10"/>
  <c r="DD8" i="10"/>
  <c r="DC8" i="10"/>
  <c r="DB8" i="10"/>
  <c r="DA8" i="10"/>
  <c r="CZ8" i="10"/>
  <c r="CY8" i="10"/>
  <c r="CX8" i="10"/>
  <c r="CW8" i="10"/>
  <c r="CV8" i="10"/>
  <c r="CU8" i="10"/>
  <c r="CT8" i="10"/>
  <c r="CS8" i="10"/>
  <c r="CR8" i="10"/>
  <c r="CQ8" i="10"/>
  <c r="CP8" i="10"/>
  <c r="CO8" i="10"/>
  <c r="CN8" i="10"/>
  <c r="CM8" i="10"/>
  <c r="CL8" i="10"/>
  <c r="CK8" i="10"/>
  <c r="CJ8" i="10"/>
  <c r="CI8" i="10"/>
  <c r="CH8" i="10"/>
  <c r="CG8" i="10"/>
  <c r="CF8" i="10"/>
  <c r="CE8" i="10"/>
  <c r="CD8" i="10"/>
  <c r="CC8" i="10"/>
  <c r="CB8" i="10"/>
  <c r="CA8" i="10"/>
  <c r="BZ8" i="10"/>
  <c r="BY8" i="10"/>
  <c r="BX8" i="10"/>
  <c r="BW8" i="10"/>
  <c r="BV8" i="10"/>
  <c r="BU8" i="10"/>
  <c r="BT8" i="10"/>
  <c r="BS8" i="10"/>
  <c r="BR8" i="10"/>
  <c r="BQ8" i="10"/>
  <c r="BP8" i="10"/>
  <c r="BO8" i="10"/>
  <c r="BN8" i="10"/>
  <c r="BM8" i="10"/>
  <c r="BL8" i="10"/>
  <c r="BK8" i="10"/>
  <c r="BJ8" i="10"/>
  <c r="BI8" i="10"/>
  <c r="BH8" i="10"/>
  <c r="BG8" i="10"/>
  <c r="BF8" i="10"/>
  <c r="BE8" i="10"/>
  <c r="BD8" i="10"/>
  <c r="BC8" i="10"/>
  <c r="BB8" i="10"/>
  <c r="BA8" i="10"/>
  <c r="AZ8" i="10"/>
  <c r="AY8" i="10"/>
  <c r="AX8" i="10"/>
  <c r="AW8" i="10"/>
  <c r="AV8" i="10"/>
  <c r="AU8" i="10"/>
  <c r="AT8" i="10"/>
  <c r="AS8" i="10"/>
  <c r="AR8" i="10"/>
  <c r="AQ8" i="10"/>
  <c r="AP8" i="10"/>
  <c r="AO8" i="10"/>
  <c r="AN8" i="10"/>
  <c r="AM8" i="10"/>
  <c r="AL8" i="10"/>
  <c r="AK8" i="10"/>
  <c r="AJ8" i="10"/>
  <c r="AI8" i="10"/>
  <c r="AH8" i="10"/>
  <c r="AG8" i="10"/>
  <c r="AF8" i="10"/>
  <c r="AE8" i="10"/>
  <c r="AD8" i="10"/>
  <c r="AC8" i="10"/>
  <c r="AB8" i="10"/>
  <c r="AA8" i="10"/>
  <c r="Z8" i="10"/>
  <c r="Y8" i="10"/>
  <c r="X8" i="10"/>
  <c r="W8" i="10"/>
  <c r="V8" i="10"/>
  <c r="U8" i="10"/>
  <c r="T8" i="10"/>
  <c r="S8" i="10"/>
  <c r="H8" i="10"/>
  <c r="F7" i="11"/>
  <c r="F6" i="11"/>
  <c r="C19" i="16" s="1"/>
  <c r="B8" i="16" s="1"/>
  <c r="F34" i="11"/>
  <c r="F33" i="11"/>
  <c r="F32" i="11"/>
  <c r="F31" i="11"/>
  <c r="F30" i="11"/>
  <c r="S181" i="11"/>
  <c r="S180" i="11"/>
  <c r="S179" i="11"/>
  <c r="S178" i="11"/>
  <c r="S177" i="11"/>
  <c r="S176" i="11"/>
  <c r="S175" i="11"/>
  <c r="S174" i="11"/>
  <c r="S173" i="11"/>
  <c r="S172" i="11"/>
  <c r="S171" i="11"/>
  <c r="S170" i="11"/>
  <c r="S169" i="11"/>
  <c r="S168" i="11"/>
  <c r="S167" i="11"/>
  <c r="S166" i="11"/>
  <c r="S165" i="11"/>
  <c r="S164" i="11"/>
  <c r="S163" i="11"/>
  <c r="S162" i="11"/>
  <c r="S161" i="11"/>
  <c r="S160" i="11"/>
  <c r="S159" i="11"/>
  <c r="S158" i="11"/>
  <c r="S157" i="11"/>
  <c r="S156" i="11"/>
  <c r="S155" i="11"/>
  <c r="S154" i="11"/>
  <c r="S153" i="11"/>
  <c r="S152" i="11"/>
  <c r="S151" i="11"/>
  <c r="S150" i="11"/>
  <c r="S149" i="11"/>
  <c r="S148" i="11"/>
  <c r="S147" i="11"/>
  <c r="S146" i="11"/>
  <c r="S145" i="11"/>
  <c r="S144" i="11"/>
  <c r="S143" i="11"/>
  <c r="S142" i="11"/>
  <c r="S141" i="11"/>
  <c r="S140" i="11"/>
  <c r="S139" i="11"/>
  <c r="S138" i="11"/>
  <c r="S137" i="11"/>
  <c r="S136" i="11"/>
  <c r="S135" i="11"/>
  <c r="S134" i="11"/>
  <c r="S133" i="11"/>
  <c r="S132" i="11"/>
  <c r="S131" i="11"/>
  <c r="S130" i="11"/>
  <c r="S129" i="11"/>
  <c r="S128" i="11"/>
  <c r="S127" i="11"/>
  <c r="S126" i="11"/>
  <c r="S125" i="11"/>
  <c r="S124" i="11"/>
  <c r="S123" i="11"/>
  <c r="S122" i="11"/>
  <c r="S121" i="11"/>
  <c r="S120" i="11"/>
  <c r="S119" i="11"/>
  <c r="S118" i="11"/>
  <c r="S117" i="11"/>
  <c r="S116" i="11"/>
  <c r="S115" i="11"/>
  <c r="S114" i="11"/>
  <c r="S113" i="11"/>
  <c r="S112" i="11"/>
  <c r="S111" i="11"/>
  <c r="S110" i="11"/>
  <c r="S109" i="11"/>
  <c r="S108" i="11"/>
  <c r="S107" i="11"/>
  <c r="S106" i="11"/>
  <c r="S105" i="11"/>
  <c r="S104" i="11"/>
  <c r="S103" i="11"/>
  <c r="S102" i="11"/>
  <c r="S101" i="11"/>
  <c r="S100" i="11"/>
  <c r="S99" i="11"/>
  <c r="S98" i="11"/>
  <c r="S97" i="11"/>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F21" i="16" l="1"/>
  <c r="G12" i="15"/>
  <c r="G13" i="15" s="1"/>
  <c r="C75" i="15"/>
  <c r="H11" i="15"/>
  <c r="B8" i="6"/>
  <c r="C19" i="6"/>
  <c r="G21" i="16" l="1"/>
  <c r="C76" i="15"/>
  <c r="H12" i="15"/>
  <c r="H13" i="15" s="1"/>
  <c r="I11" i="15"/>
  <c r="B6" i="6"/>
  <c r="H21" i="16" l="1"/>
  <c r="I12" i="15"/>
  <c r="I13" i="15" s="1"/>
  <c r="C77" i="15"/>
  <c r="J11" i="15"/>
  <c r="I21" i="16" l="1"/>
  <c r="C78" i="15"/>
  <c r="J12" i="15"/>
  <c r="J13" i="15" s="1"/>
  <c r="K11" i="15"/>
  <c r="F66" i="10"/>
  <c r="F55" i="10"/>
  <c r="E54" i="11"/>
  <c r="E53" i="11"/>
  <c r="J21" i="16" l="1"/>
  <c r="B36" i="16"/>
  <c r="C79" i="15"/>
  <c r="K12" i="15"/>
  <c r="K13" i="15" s="1"/>
  <c r="L11" i="15"/>
  <c r="G8" i="10"/>
  <c r="B18" i="6"/>
  <c r="E25" i="11"/>
  <c r="E42" i="11"/>
  <c r="K21" i="16" l="1"/>
  <c r="C80" i="15"/>
  <c r="L12" i="15"/>
  <c r="L13" i="15" s="1"/>
  <c r="M11" i="15"/>
  <c r="E44" i="11"/>
  <c r="B25" i="6"/>
  <c r="B27" i="6" s="1"/>
  <c r="E17" i="11"/>
  <c r="E35" i="11"/>
  <c r="B21" i="6" s="1"/>
  <c r="F43" i="11"/>
  <c r="F41" i="11"/>
  <c r="C41" i="11" s="1"/>
  <c r="F40" i="11"/>
  <c r="C34" i="11"/>
  <c r="C33" i="11"/>
  <c r="C32" i="11"/>
  <c r="C31" i="11"/>
  <c r="C30" i="11"/>
  <c r="F24" i="11"/>
  <c r="C24" i="11" s="1"/>
  <c r="F23" i="11"/>
  <c r="C23" i="11" s="1"/>
  <c r="F16" i="11"/>
  <c r="G4" i="11"/>
  <c r="D18" i="16" s="1"/>
  <c r="G3" i="11"/>
  <c r="D8" i="15" s="1"/>
  <c r="D16" i="15" s="1"/>
  <c r="F11" i="11"/>
  <c r="C11" i="11" s="1"/>
  <c r="F10" i="11"/>
  <c r="C10" i="11" s="1"/>
  <c r="F12" i="11"/>
  <c r="C12" i="11" s="1"/>
  <c r="ET67" i="10"/>
  <c r="ES67" i="10"/>
  <c r="ER67" i="10"/>
  <c r="EQ67" i="10"/>
  <c r="EP67" i="10"/>
  <c r="EO67" i="10"/>
  <c r="EN67" i="10"/>
  <c r="EM67" i="10"/>
  <c r="EL67" i="10"/>
  <c r="EK67" i="10"/>
  <c r="EJ67" i="10"/>
  <c r="EI67" i="10"/>
  <c r="EH67" i="10"/>
  <c r="EG67" i="10"/>
  <c r="EF67" i="10"/>
  <c r="EE67" i="10"/>
  <c r="ED67" i="10"/>
  <c r="EC67" i="10"/>
  <c r="EB67" i="10"/>
  <c r="EA67" i="10"/>
  <c r="DZ67" i="10"/>
  <c r="DY67" i="10"/>
  <c r="DX67" i="10"/>
  <c r="DW67" i="10"/>
  <c r="DV67" i="10"/>
  <c r="DU67" i="10"/>
  <c r="DT67" i="10"/>
  <c r="DS67" i="10"/>
  <c r="DR67" i="10"/>
  <c r="DQ67" i="10"/>
  <c r="DP67" i="10"/>
  <c r="DO67" i="10"/>
  <c r="DN67" i="10"/>
  <c r="DM67" i="10"/>
  <c r="DL67" i="10"/>
  <c r="DK67" i="10"/>
  <c r="DJ67" i="10"/>
  <c r="DI67" i="10"/>
  <c r="DH67" i="10"/>
  <c r="DG67" i="10"/>
  <c r="DF67" i="10"/>
  <c r="DE67" i="10"/>
  <c r="DD67" i="10"/>
  <c r="DC67" i="10"/>
  <c r="DB67" i="10"/>
  <c r="DA67" i="10"/>
  <c r="CZ67" i="10"/>
  <c r="CY67" i="10"/>
  <c r="CX67" i="10"/>
  <c r="CW67" i="10"/>
  <c r="CV67" i="10"/>
  <c r="CU67" i="10"/>
  <c r="CT67" i="10"/>
  <c r="CS67" i="10"/>
  <c r="CR67" i="10"/>
  <c r="CQ67" i="10"/>
  <c r="CP67" i="10"/>
  <c r="CO67" i="10"/>
  <c r="CN67" i="10"/>
  <c r="CM67" i="10"/>
  <c r="CL67" i="10"/>
  <c r="CK67" i="10"/>
  <c r="CJ67" i="10"/>
  <c r="CI67" i="10"/>
  <c r="CH67" i="10"/>
  <c r="CG67" i="10"/>
  <c r="CF67" i="10"/>
  <c r="CE67" i="10"/>
  <c r="CD67" i="10"/>
  <c r="CC67" i="10"/>
  <c r="CB67" i="10"/>
  <c r="CA67" i="10"/>
  <c r="BZ67" i="10"/>
  <c r="BY67" i="10"/>
  <c r="BX67" i="10"/>
  <c r="BW67" i="10"/>
  <c r="BV67" i="10"/>
  <c r="BU67" i="10"/>
  <c r="BT67" i="10"/>
  <c r="BS67" i="10"/>
  <c r="BR67" i="10"/>
  <c r="BQ67" i="10"/>
  <c r="BP67" i="10"/>
  <c r="BO67" i="10"/>
  <c r="BN67" i="10"/>
  <c r="BM67" i="10"/>
  <c r="BL67" i="10"/>
  <c r="BK67" i="10"/>
  <c r="BJ67" i="10"/>
  <c r="BI67" i="10"/>
  <c r="BH67" i="10"/>
  <c r="BG67" i="10"/>
  <c r="BF67" i="10"/>
  <c r="BE67" i="10"/>
  <c r="BD67" i="10"/>
  <c r="BC67" i="10"/>
  <c r="BB67" i="10"/>
  <c r="BA67" i="10"/>
  <c r="AZ67" i="10"/>
  <c r="AY67" i="10"/>
  <c r="AX67" i="10"/>
  <c r="AW67" i="10"/>
  <c r="AV67" i="10"/>
  <c r="AU67" i="10"/>
  <c r="AT67" i="10"/>
  <c r="AS67" i="10"/>
  <c r="AR67" i="10"/>
  <c r="AQ67" i="10"/>
  <c r="AP67" i="10"/>
  <c r="AO67" i="10"/>
  <c r="AN67" i="10"/>
  <c r="AM67" i="10"/>
  <c r="AL67" i="10"/>
  <c r="AK67" i="10"/>
  <c r="AJ67" i="10"/>
  <c r="AI67" i="10"/>
  <c r="AH67" i="10"/>
  <c r="AG67" i="10"/>
  <c r="AF67" i="10"/>
  <c r="AE67" i="10"/>
  <c r="AD67" i="10"/>
  <c r="AC67" i="10"/>
  <c r="AB67" i="10"/>
  <c r="AA67" i="10"/>
  <c r="Z67" i="10"/>
  <c r="Y67" i="10"/>
  <c r="X67" i="10"/>
  <c r="W67" i="10"/>
  <c r="V67" i="10"/>
  <c r="U67" i="10"/>
  <c r="T67" i="10"/>
  <c r="S67" i="10"/>
  <c r="H67" i="10"/>
  <c r="G67" i="10"/>
  <c r="F67" i="10"/>
  <c r="ET56" i="10"/>
  <c r="ES56" i="10"/>
  <c r="ER56" i="10"/>
  <c r="EQ56" i="10"/>
  <c r="EP56" i="10"/>
  <c r="EO56" i="10"/>
  <c r="EN56" i="10"/>
  <c r="EM56" i="10"/>
  <c r="EL56" i="10"/>
  <c r="EK56" i="10"/>
  <c r="EJ56" i="10"/>
  <c r="EI56" i="10"/>
  <c r="EH56" i="10"/>
  <c r="EG56" i="10"/>
  <c r="EF56" i="10"/>
  <c r="EE56" i="10"/>
  <c r="ED56" i="10"/>
  <c r="EC56" i="10"/>
  <c r="EB56" i="10"/>
  <c r="EA56" i="10"/>
  <c r="DZ56" i="10"/>
  <c r="DY56" i="10"/>
  <c r="DX56" i="10"/>
  <c r="DW56" i="10"/>
  <c r="DV56" i="10"/>
  <c r="DU56" i="10"/>
  <c r="DT56" i="10"/>
  <c r="DS56" i="10"/>
  <c r="DR56" i="10"/>
  <c r="DQ56" i="10"/>
  <c r="DP56" i="10"/>
  <c r="DO56" i="10"/>
  <c r="DN56" i="10"/>
  <c r="DM56" i="10"/>
  <c r="DL56" i="10"/>
  <c r="DK56" i="10"/>
  <c r="DJ56" i="10"/>
  <c r="DI56" i="10"/>
  <c r="DH56" i="10"/>
  <c r="DG56" i="10"/>
  <c r="DF56" i="10"/>
  <c r="DE56" i="10"/>
  <c r="DD56" i="10"/>
  <c r="DC56" i="10"/>
  <c r="DB56" i="10"/>
  <c r="DA56" i="10"/>
  <c r="CZ56" i="10"/>
  <c r="CY56" i="10"/>
  <c r="CX56" i="10"/>
  <c r="CW56" i="10"/>
  <c r="CV56" i="10"/>
  <c r="CU56" i="10"/>
  <c r="CT56" i="10"/>
  <c r="CS56" i="10"/>
  <c r="CR56" i="10"/>
  <c r="CQ56" i="10"/>
  <c r="CP56" i="10"/>
  <c r="CO56" i="10"/>
  <c r="CN56" i="10"/>
  <c r="CM56" i="10"/>
  <c r="CL56" i="10"/>
  <c r="CK56" i="10"/>
  <c r="CJ56" i="10"/>
  <c r="CI56" i="10"/>
  <c r="CH56" i="10"/>
  <c r="CG56" i="10"/>
  <c r="CF56" i="10"/>
  <c r="CE56" i="10"/>
  <c r="CD56" i="10"/>
  <c r="CC56" i="10"/>
  <c r="CB56" i="10"/>
  <c r="CA56" i="10"/>
  <c r="BZ56" i="10"/>
  <c r="BY56" i="10"/>
  <c r="BX56" i="10"/>
  <c r="BW56" i="10"/>
  <c r="BV56" i="10"/>
  <c r="BU56" i="10"/>
  <c r="BT56" i="10"/>
  <c r="BS56" i="10"/>
  <c r="BR56" i="10"/>
  <c r="BQ56" i="10"/>
  <c r="BP56" i="10"/>
  <c r="BO56" i="10"/>
  <c r="BN56" i="10"/>
  <c r="BM56" i="10"/>
  <c r="BL56" i="10"/>
  <c r="BK56" i="10"/>
  <c r="BJ56" i="10"/>
  <c r="BI56" i="10"/>
  <c r="BH56" i="10"/>
  <c r="BG56" i="10"/>
  <c r="BF56" i="10"/>
  <c r="BE56" i="10"/>
  <c r="BD56" i="10"/>
  <c r="BC56" i="10"/>
  <c r="BB56" i="10"/>
  <c r="BA56" i="10"/>
  <c r="AZ56" i="10"/>
  <c r="AY56" i="10"/>
  <c r="AX56" i="10"/>
  <c r="AW56" i="10"/>
  <c r="AV56" i="10"/>
  <c r="AU56" i="10"/>
  <c r="AT56" i="10"/>
  <c r="AS56" i="10"/>
  <c r="AR56" i="10"/>
  <c r="AQ56" i="10"/>
  <c r="AP56" i="10"/>
  <c r="AO56" i="10"/>
  <c r="AN56" i="10"/>
  <c r="AM56" i="10"/>
  <c r="AL56" i="10"/>
  <c r="AK56" i="10"/>
  <c r="AJ56" i="10"/>
  <c r="AI56" i="10"/>
  <c r="AH56" i="10"/>
  <c r="AG56" i="10"/>
  <c r="AF56" i="10"/>
  <c r="AE56" i="10"/>
  <c r="AD56" i="10"/>
  <c r="AC56" i="10"/>
  <c r="AB56" i="10"/>
  <c r="AA56" i="10"/>
  <c r="Z56" i="10"/>
  <c r="Y56" i="10"/>
  <c r="X56" i="10"/>
  <c r="W56" i="10"/>
  <c r="V56" i="10"/>
  <c r="U56" i="10"/>
  <c r="T56" i="10"/>
  <c r="S56" i="10"/>
  <c r="H56" i="10"/>
  <c r="G56" i="10"/>
  <c r="F56" i="10"/>
  <c r="G40" i="10"/>
  <c r="G32" i="10"/>
  <c r="G23" i="10"/>
  <c r="ET18" i="10"/>
  <c r="ES18" i="10"/>
  <c r="ER18" i="10"/>
  <c r="EQ18" i="10"/>
  <c r="EP18" i="10"/>
  <c r="EO18" i="10"/>
  <c r="EN18" i="10"/>
  <c r="EM18" i="10"/>
  <c r="EL18" i="10"/>
  <c r="EK18" i="10"/>
  <c r="EJ18" i="10"/>
  <c r="EI18" i="10"/>
  <c r="EH18" i="10"/>
  <c r="EG18" i="10"/>
  <c r="EF18" i="10"/>
  <c r="EE18" i="10"/>
  <c r="ED18" i="10"/>
  <c r="EC18" i="10"/>
  <c r="EB18" i="10"/>
  <c r="EA18" i="10"/>
  <c r="DZ18" i="10"/>
  <c r="DY18" i="10"/>
  <c r="DX18" i="10"/>
  <c r="DW18" i="10"/>
  <c r="DV18" i="10"/>
  <c r="DU18" i="10"/>
  <c r="DT18" i="10"/>
  <c r="DS18" i="10"/>
  <c r="DR18" i="10"/>
  <c r="DQ18" i="10"/>
  <c r="DP18" i="10"/>
  <c r="DO18" i="10"/>
  <c r="DN18" i="10"/>
  <c r="DM18" i="10"/>
  <c r="DL18" i="10"/>
  <c r="DK18" i="10"/>
  <c r="DJ18" i="10"/>
  <c r="DI18" i="10"/>
  <c r="DH18" i="10"/>
  <c r="DG18" i="10"/>
  <c r="DF18" i="10"/>
  <c r="DE18" i="10"/>
  <c r="DD18" i="10"/>
  <c r="DC18" i="10"/>
  <c r="DB18" i="10"/>
  <c r="DA18" i="10"/>
  <c r="CZ18" i="10"/>
  <c r="CY18" i="10"/>
  <c r="CX18" i="10"/>
  <c r="CW18" i="10"/>
  <c r="CV18" i="10"/>
  <c r="CU18" i="10"/>
  <c r="CT18" i="10"/>
  <c r="CS18" i="10"/>
  <c r="CR18" i="10"/>
  <c r="CQ18" i="10"/>
  <c r="CP18" i="10"/>
  <c r="CO18" i="10"/>
  <c r="CN18" i="10"/>
  <c r="CM18" i="10"/>
  <c r="CL18" i="10"/>
  <c r="CK18" i="10"/>
  <c r="CJ18" i="10"/>
  <c r="CI18" i="10"/>
  <c r="CH18" i="10"/>
  <c r="CG18" i="10"/>
  <c r="CF18" i="10"/>
  <c r="CE18" i="10"/>
  <c r="CD18" i="10"/>
  <c r="CC18" i="10"/>
  <c r="CB18" i="10"/>
  <c r="CA18" i="10"/>
  <c r="BZ18" i="10"/>
  <c r="BY18" i="10"/>
  <c r="BX18" i="10"/>
  <c r="BW18" i="10"/>
  <c r="BV18" i="10"/>
  <c r="BU18" i="10"/>
  <c r="BT18" i="10"/>
  <c r="BS18" i="10"/>
  <c r="BR18" i="10"/>
  <c r="BQ18" i="10"/>
  <c r="BP18" i="10"/>
  <c r="BO18" i="10"/>
  <c r="BN18" i="10"/>
  <c r="BM18" i="10"/>
  <c r="BL18" i="10"/>
  <c r="BK18" i="10"/>
  <c r="BJ18" i="10"/>
  <c r="BI18" i="10"/>
  <c r="BH18" i="10"/>
  <c r="BG18" i="10"/>
  <c r="BF18" i="10"/>
  <c r="BE18" i="10"/>
  <c r="BD18" i="10"/>
  <c r="BC18" i="10"/>
  <c r="BB18" i="10"/>
  <c r="BA18" i="10"/>
  <c r="AZ18" i="10"/>
  <c r="AY18" i="10"/>
  <c r="AX18"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C26" i="6" l="1"/>
  <c r="C26" i="16"/>
  <c r="L21" i="16"/>
  <c r="D9" i="15"/>
  <c r="M12" i="15"/>
  <c r="M13" i="15" s="1"/>
  <c r="C81" i="15"/>
  <c r="E21" i="11"/>
  <c r="E27" i="11" s="1"/>
  <c r="E37" i="11" s="1"/>
  <c r="G47" i="11"/>
  <c r="G55" i="11"/>
  <c r="D37" i="16" s="1"/>
  <c r="I8" i="10"/>
  <c r="D18" i="6"/>
  <c r="D17" i="6"/>
  <c r="M5" i="6"/>
  <c r="G6" i="11"/>
  <c r="G7" i="11"/>
  <c r="G33" i="11"/>
  <c r="G31" i="11"/>
  <c r="G34" i="11"/>
  <c r="G32" i="11"/>
  <c r="G30" i="11"/>
  <c r="G71" i="10"/>
  <c r="H4" i="11"/>
  <c r="E18" i="16" s="1"/>
  <c r="F42" i="11"/>
  <c r="C25" i="16" s="1"/>
  <c r="C27" i="16" s="1"/>
  <c r="G12" i="11"/>
  <c r="F17" i="11"/>
  <c r="C25" i="11"/>
  <c r="C35" i="11"/>
  <c r="C13" i="11"/>
  <c r="C40" i="11"/>
  <c r="C42" i="11" s="1"/>
  <c r="C44" i="11" s="1"/>
  <c r="C16" i="11"/>
  <c r="C17" i="11" s="1"/>
  <c r="G43" i="11"/>
  <c r="G24" i="11"/>
  <c r="F35" i="11"/>
  <c r="C21" i="6" s="1"/>
  <c r="G11" i="11"/>
  <c r="G40" i="11"/>
  <c r="G23" i="11"/>
  <c r="G41" i="11"/>
  <c r="F25" i="11"/>
  <c r="G16" i="11"/>
  <c r="F13" i="11"/>
  <c r="H3" i="11"/>
  <c r="E8" i="15" s="1"/>
  <c r="E16" i="15" s="1"/>
  <c r="G10" i="11"/>
  <c r="G33" i="10"/>
  <c r="G34" i="10" s="1"/>
  <c r="G41" i="10"/>
  <c r="G42" i="10" s="1"/>
  <c r="D26" i="6" l="1"/>
  <c r="D26" i="16"/>
  <c r="D19" i="6"/>
  <c r="D19" i="16"/>
  <c r="M21" i="16"/>
  <c r="E9" i="15"/>
  <c r="D31" i="6"/>
  <c r="E17" i="6"/>
  <c r="J8" i="10"/>
  <c r="E18" i="6"/>
  <c r="F44" i="11"/>
  <c r="C25" i="6"/>
  <c r="C27" i="6" s="1"/>
  <c r="H6" i="11"/>
  <c r="H7" i="11"/>
  <c r="H31" i="11"/>
  <c r="H34" i="11"/>
  <c r="H32" i="11"/>
  <c r="H30" i="11"/>
  <c r="H33" i="11"/>
  <c r="I67" i="10"/>
  <c r="I56" i="10"/>
  <c r="I4" i="11"/>
  <c r="F18" i="16" s="1"/>
  <c r="F21" i="11"/>
  <c r="C21" i="11" s="1"/>
  <c r="C27" i="11" s="1"/>
  <c r="C37" i="11" s="1"/>
  <c r="H43" i="11"/>
  <c r="G42" i="11"/>
  <c r="D25" i="16" s="1"/>
  <c r="D27" i="16" s="1"/>
  <c r="G25" i="11"/>
  <c r="G17" i="11"/>
  <c r="G13" i="11"/>
  <c r="H23" i="11"/>
  <c r="H41" i="11"/>
  <c r="H40" i="11"/>
  <c r="H24" i="11"/>
  <c r="G35" i="11"/>
  <c r="D21" i="6" s="1"/>
  <c r="H16" i="11"/>
  <c r="I3" i="11"/>
  <c r="F8" i="15" s="1"/>
  <c r="F16" i="15" s="1"/>
  <c r="H12" i="11"/>
  <c r="H11" i="11"/>
  <c r="H10" i="11"/>
  <c r="E26" i="6" l="1"/>
  <c r="E26" i="16"/>
  <c r="E19" i="6"/>
  <c r="E19" i="16"/>
  <c r="F9" i="15"/>
  <c r="K8" i="10"/>
  <c r="F18" i="6"/>
  <c r="F17" i="6"/>
  <c r="G44" i="11"/>
  <c r="D25" i="6"/>
  <c r="D27" i="6" s="1"/>
  <c r="I6" i="11"/>
  <c r="I7" i="11"/>
  <c r="I31" i="11"/>
  <c r="I34" i="11"/>
  <c r="I32" i="11"/>
  <c r="I30" i="11"/>
  <c r="I33" i="11"/>
  <c r="F27" i="11"/>
  <c r="J67" i="10"/>
  <c r="J56" i="10"/>
  <c r="J4" i="11"/>
  <c r="G18" i="16" s="1"/>
  <c r="G21" i="11"/>
  <c r="G27" i="11" s="1"/>
  <c r="H42" i="11"/>
  <c r="E25" i="16" s="1"/>
  <c r="E27" i="16" s="1"/>
  <c r="I43" i="11"/>
  <c r="I23" i="11"/>
  <c r="I41" i="11"/>
  <c r="I40" i="11"/>
  <c r="I24" i="11"/>
  <c r="H25" i="11"/>
  <c r="H35" i="11"/>
  <c r="E21" i="6" s="1"/>
  <c r="I16" i="11"/>
  <c r="H17" i="11"/>
  <c r="H13" i="11"/>
  <c r="I12" i="11"/>
  <c r="I11" i="11"/>
  <c r="I10" i="11"/>
  <c r="J3" i="11"/>
  <c r="G8" i="15" s="1"/>
  <c r="G16" i="15" s="1"/>
  <c r="F19" i="6" l="1"/>
  <c r="F19" i="16"/>
  <c r="F26" i="6"/>
  <c r="F26" i="16"/>
  <c r="G9" i="15"/>
  <c r="L8" i="10"/>
  <c r="G18" i="6"/>
  <c r="G17" i="6"/>
  <c r="H44" i="11"/>
  <c r="E25" i="6"/>
  <c r="E27" i="6" s="1"/>
  <c r="G37" i="11"/>
  <c r="D20" i="6"/>
  <c r="D22" i="6" s="1"/>
  <c r="D29" i="6" s="1"/>
  <c r="D33" i="6" s="1"/>
  <c r="F37" i="11"/>
  <c r="C20" i="16" s="1"/>
  <c r="C22" i="16" s="1"/>
  <c r="B9" i="16" s="1"/>
  <c r="C20" i="6"/>
  <c r="C22" i="6" s="1"/>
  <c r="J6" i="11"/>
  <c r="J7" i="11"/>
  <c r="J34" i="11"/>
  <c r="J32" i="11"/>
  <c r="J30" i="11"/>
  <c r="J33" i="11"/>
  <c r="J31" i="11"/>
  <c r="K67" i="10"/>
  <c r="K56" i="10"/>
  <c r="K4" i="11"/>
  <c r="H18" i="16" s="1"/>
  <c r="J43" i="11"/>
  <c r="I42" i="11"/>
  <c r="F25" i="16" s="1"/>
  <c r="I13" i="11"/>
  <c r="I35" i="11"/>
  <c r="F21" i="6" s="1"/>
  <c r="J23" i="11"/>
  <c r="J41" i="11"/>
  <c r="J40" i="11"/>
  <c r="J24" i="11"/>
  <c r="I25" i="11"/>
  <c r="H21" i="11"/>
  <c r="H27" i="11" s="1"/>
  <c r="J16" i="11"/>
  <c r="I17" i="11"/>
  <c r="J12" i="11"/>
  <c r="J11" i="11"/>
  <c r="J10" i="11"/>
  <c r="K3" i="11"/>
  <c r="H8" i="15" s="1"/>
  <c r="H16" i="15" s="1"/>
  <c r="F27" i="16" l="1"/>
  <c r="G37" i="6"/>
  <c r="C29" i="6"/>
  <c r="C33" i="6" s="1"/>
  <c r="G19" i="6"/>
  <c r="G19" i="16"/>
  <c r="G46" i="11"/>
  <c r="G49" i="11" s="1"/>
  <c r="D20" i="16"/>
  <c r="D22" i="16" s="1"/>
  <c r="C29" i="16"/>
  <c r="C33" i="16" s="1"/>
  <c r="G26" i="6"/>
  <c r="G26" i="16"/>
  <c r="H9" i="15"/>
  <c r="K55" i="11"/>
  <c r="H37" i="16" s="1"/>
  <c r="K47" i="11"/>
  <c r="B9" i="6"/>
  <c r="R40" i="6" s="1"/>
  <c r="A40" i="6" s="1"/>
  <c r="H17" i="6"/>
  <c r="M8" i="10"/>
  <c r="H18" i="6"/>
  <c r="F46" i="11"/>
  <c r="D23" i="6"/>
  <c r="H37" i="11"/>
  <c r="E20" i="6"/>
  <c r="E22" i="6" s="1"/>
  <c r="E29" i="6" s="1"/>
  <c r="I44" i="11"/>
  <c r="F25" i="6"/>
  <c r="F27" i="6" s="1"/>
  <c r="K6" i="11"/>
  <c r="K7" i="11"/>
  <c r="K34" i="11"/>
  <c r="K32" i="11"/>
  <c r="K30" i="11"/>
  <c r="K33" i="11"/>
  <c r="K31" i="11"/>
  <c r="L67" i="10"/>
  <c r="L56" i="10"/>
  <c r="L4" i="11"/>
  <c r="I18" i="16" s="1"/>
  <c r="K43" i="11"/>
  <c r="J17" i="11"/>
  <c r="J13" i="11"/>
  <c r="J42" i="11"/>
  <c r="G25" i="16" s="1"/>
  <c r="G27" i="16" s="1"/>
  <c r="I21" i="11"/>
  <c r="I27" i="11" s="1"/>
  <c r="J35" i="11"/>
  <c r="G21" i="6" s="1"/>
  <c r="K23" i="11"/>
  <c r="K41" i="11"/>
  <c r="K40" i="11"/>
  <c r="K24" i="11"/>
  <c r="J25" i="11"/>
  <c r="K16" i="11"/>
  <c r="K12" i="11"/>
  <c r="K11" i="11"/>
  <c r="K10" i="11"/>
  <c r="L3" i="11"/>
  <c r="I8" i="15" s="1"/>
  <c r="I16" i="15" s="1"/>
  <c r="H26" i="6" l="1"/>
  <c r="H26" i="16"/>
  <c r="R48" i="16"/>
  <c r="E48" i="16" s="1"/>
  <c r="R50" i="16"/>
  <c r="E50" i="16" s="1"/>
  <c r="R49" i="16"/>
  <c r="E49" i="16" s="1"/>
  <c r="R51" i="16"/>
  <c r="E51" i="16" s="1"/>
  <c r="R47" i="16"/>
  <c r="E47" i="16" s="1"/>
  <c r="H19" i="6"/>
  <c r="H19" i="16"/>
  <c r="D23" i="16"/>
  <c r="D29" i="16"/>
  <c r="D33" i="16" s="1"/>
  <c r="H46" i="11"/>
  <c r="E20" i="16"/>
  <c r="E22" i="16" s="1"/>
  <c r="I9" i="15"/>
  <c r="L47" i="11"/>
  <c r="L55" i="11"/>
  <c r="I37" i="16" s="1"/>
  <c r="F49" i="11"/>
  <c r="C49" i="11" s="1"/>
  <c r="H31" i="6"/>
  <c r="N8" i="10"/>
  <c r="I18" i="6"/>
  <c r="I17" i="6"/>
  <c r="B7" i="6"/>
  <c r="R42" i="6"/>
  <c r="A42" i="6" s="1"/>
  <c r="R41" i="6"/>
  <c r="A41" i="6" s="1"/>
  <c r="R38" i="6"/>
  <c r="A38" i="6" s="1"/>
  <c r="R39" i="6"/>
  <c r="A39" i="6" s="1"/>
  <c r="E23" i="6"/>
  <c r="I37" i="11"/>
  <c r="F20" i="6"/>
  <c r="F22" i="6" s="1"/>
  <c r="F29" i="6" s="1"/>
  <c r="J44" i="11"/>
  <c r="G25" i="6"/>
  <c r="G27" i="6" s="1"/>
  <c r="L6" i="11"/>
  <c r="L7" i="11"/>
  <c r="L34" i="11"/>
  <c r="L32" i="11"/>
  <c r="L30" i="11"/>
  <c r="L33" i="11"/>
  <c r="L31" i="11"/>
  <c r="M67" i="10"/>
  <c r="M56" i="10"/>
  <c r="M4" i="11"/>
  <c r="J18" i="16" s="1"/>
  <c r="L43" i="11"/>
  <c r="J21" i="11"/>
  <c r="J27" i="11" s="1"/>
  <c r="K42" i="11"/>
  <c r="H25" i="16" s="1"/>
  <c r="H27" i="16" s="1"/>
  <c r="K17" i="11"/>
  <c r="K35" i="11"/>
  <c r="H21" i="6" s="1"/>
  <c r="K25" i="11"/>
  <c r="L23" i="11"/>
  <c r="L41" i="11"/>
  <c r="L24" i="11"/>
  <c r="L40" i="11"/>
  <c r="L16" i="11"/>
  <c r="K13" i="11"/>
  <c r="M3" i="11"/>
  <c r="J8" i="15" s="1"/>
  <c r="J16" i="15" s="1"/>
  <c r="L11" i="11"/>
  <c r="L10" i="11"/>
  <c r="L12" i="11"/>
  <c r="I19" i="6" l="1"/>
  <c r="I19" i="16"/>
  <c r="E23" i="16"/>
  <c r="E29" i="16"/>
  <c r="I46" i="11"/>
  <c r="F20" i="16"/>
  <c r="F22" i="16" s="1"/>
  <c r="I26" i="6"/>
  <c r="I26" i="16"/>
  <c r="J9" i="15"/>
  <c r="M47" i="11"/>
  <c r="M55" i="11"/>
  <c r="J37" i="16" s="1"/>
  <c r="I31" i="6"/>
  <c r="O8" i="10"/>
  <c r="J18" i="6"/>
  <c r="J17" i="6"/>
  <c r="K44" i="11"/>
  <c r="H25" i="6"/>
  <c r="H27" i="6" s="1"/>
  <c r="J37" i="11"/>
  <c r="G20" i="6"/>
  <c r="G22" i="6" s="1"/>
  <c r="G29" i="6" s="1"/>
  <c r="F23" i="6"/>
  <c r="M6" i="11"/>
  <c r="M7" i="11"/>
  <c r="M34" i="11"/>
  <c r="M32" i="11"/>
  <c r="M30" i="11"/>
  <c r="M33" i="11"/>
  <c r="M31" i="11"/>
  <c r="N67" i="10"/>
  <c r="N56" i="10"/>
  <c r="N4" i="11"/>
  <c r="K18" i="16" s="1"/>
  <c r="M43" i="11"/>
  <c r="K21" i="11"/>
  <c r="K27" i="11" s="1"/>
  <c r="L42" i="11"/>
  <c r="I25" i="16" s="1"/>
  <c r="L17" i="11"/>
  <c r="M41" i="11"/>
  <c r="M24" i="11"/>
  <c r="M23" i="11"/>
  <c r="M40" i="11"/>
  <c r="L35" i="11"/>
  <c r="I21" i="6" s="1"/>
  <c r="L25" i="11"/>
  <c r="M16" i="11"/>
  <c r="L13" i="11"/>
  <c r="N3" i="11"/>
  <c r="K8" i="15" s="1"/>
  <c r="K16" i="15" s="1"/>
  <c r="M10" i="11"/>
  <c r="M12" i="11"/>
  <c r="M11" i="11"/>
  <c r="I27" i="16" l="1"/>
  <c r="J46" i="11"/>
  <c r="G20" i="16"/>
  <c r="G22" i="16" s="1"/>
  <c r="J26" i="6"/>
  <c r="J26" i="16"/>
  <c r="F23" i="16"/>
  <c r="F29" i="16"/>
  <c r="J19" i="6"/>
  <c r="J19" i="16"/>
  <c r="K9" i="15"/>
  <c r="N47" i="11"/>
  <c r="N55" i="11"/>
  <c r="K37" i="16" s="1"/>
  <c r="J31" i="6"/>
  <c r="K17" i="6"/>
  <c r="P8" i="10"/>
  <c r="K18" i="6"/>
  <c r="G23" i="6"/>
  <c r="L44" i="11"/>
  <c r="I25" i="6"/>
  <c r="I27" i="6" s="1"/>
  <c r="K37" i="11"/>
  <c r="H20" i="6"/>
  <c r="H22" i="6" s="1"/>
  <c r="H29" i="6" s="1"/>
  <c r="H33" i="6" s="1"/>
  <c r="N6" i="11"/>
  <c r="N7" i="11"/>
  <c r="N34" i="11"/>
  <c r="N32" i="11"/>
  <c r="N30" i="11"/>
  <c r="N33" i="11"/>
  <c r="N31" i="11"/>
  <c r="O67" i="10"/>
  <c r="O56" i="10"/>
  <c r="O4" i="11"/>
  <c r="N43" i="11"/>
  <c r="M17" i="11"/>
  <c r="L21" i="11"/>
  <c r="L27" i="11" s="1"/>
  <c r="M42" i="11"/>
  <c r="J25" i="16" s="1"/>
  <c r="M25" i="11"/>
  <c r="M35" i="11"/>
  <c r="J21" i="6" s="1"/>
  <c r="N41" i="11"/>
  <c r="N24" i="11"/>
  <c r="N23" i="11"/>
  <c r="N40" i="11"/>
  <c r="N16" i="11"/>
  <c r="M13" i="11"/>
  <c r="O3" i="11"/>
  <c r="L8" i="15" s="1"/>
  <c r="L16" i="15" s="1"/>
  <c r="N10" i="11"/>
  <c r="N12" i="11"/>
  <c r="N11" i="11"/>
  <c r="J27" i="16" l="1"/>
  <c r="K46" i="11"/>
  <c r="K49" i="11" s="1"/>
  <c r="H20" i="16"/>
  <c r="H22" i="16" s="1"/>
  <c r="K26" i="6"/>
  <c r="K26" i="16"/>
  <c r="K19" i="6"/>
  <c r="K19" i="16"/>
  <c r="G29" i="16"/>
  <c r="G23" i="16"/>
  <c r="L18" i="16"/>
  <c r="I3" i="16"/>
  <c r="L9" i="15"/>
  <c r="K31" i="6"/>
  <c r="L17" i="6"/>
  <c r="Q8" i="10"/>
  <c r="L18" i="6"/>
  <c r="H23" i="6"/>
  <c r="M44" i="11"/>
  <c r="J25" i="6"/>
  <c r="J27" i="6" s="1"/>
  <c r="L37" i="11"/>
  <c r="I20" i="6"/>
  <c r="I22" i="6" s="1"/>
  <c r="I29" i="6" s="1"/>
  <c r="I33" i="6" s="1"/>
  <c r="O6" i="11"/>
  <c r="O7" i="11"/>
  <c r="O34" i="11"/>
  <c r="O32" i="11"/>
  <c r="O30" i="11"/>
  <c r="O33" i="11"/>
  <c r="O31" i="11"/>
  <c r="M21" i="11"/>
  <c r="M27" i="11" s="1"/>
  <c r="P67" i="10"/>
  <c r="P56" i="10"/>
  <c r="P4" i="11"/>
  <c r="M18" i="16" s="1"/>
  <c r="O43" i="11"/>
  <c r="N25" i="11"/>
  <c r="N17" i="11"/>
  <c r="N42" i="11"/>
  <c r="K25" i="16" s="1"/>
  <c r="O41" i="11"/>
  <c r="O24" i="11"/>
  <c r="O23" i="11"/>
  <c r="O40" i="11"/>
  <c r="N35" i="11"/>
  <c r="K21" i="6" s="1"/>
  <c r="O16" i="11"/>
  <c r="N13" i="11"/>
  <c r="P3" i="11"/>
  <c r="M8" i="15" s="1"/>
  <c r="D5" i="15" s="1"/>
  <c r="O10" i="11"/>
  <c r="O12" i="11"/>
  <c r="O11" i="11"/>
  <c r="K27" i="16" l="1"/>
  <c r="L46" i="11"/>
  <c r="L49" i="11" s="1"/>
  <c r="I20" i="16"/>
  <c r="I22" i="16" s="1"/>
  <c r="L26" i="6"/>
  <c r="L26" i="16"/>
  <c r="L19" i="6"/>
  <c r="L19" i="16"/>
  <c r="H29" i="16"/>
  <c r="H33" i="16" s="1"/>
  <c r="H23" i="16"/>
  <c r="B3" i="15"/>
  <c r="M16" i="15"/>
  <c r="M9" i="15"/>
  <c r="I3" i="6"/>
  <c r="P47" i="11"/>
  <c r="P55" i="11"/>
  <c r="M37" i="16" s="1"/>
  <c r="M17" i="6"/>
  <c r="R8" i="10"/>
  <c r="R67" i="10" s="1"/>
  <c r="M18" i="6"/>
  <c r="M37" i="11"/>
  <c r="J20" i="6"/>
  <c r="J22" i="6" s="1"/>
  <c r="J29" i="6" s="1"/>
  <c r="J33" i="6" s="1"/>
  <c r="I23" i="6"/>
  <c r="N44" i="11"/>
  <c r="K25" i="6"/>
  <c r="K27" i="6" s="1"/>
  <c r="P6" i="11"/>
  <c r="P7" i="11"/>
  <c r="P34" i="11"/>
  <c r="P32" i="11"/>
  <c r="P30" i="11"/>
  <c r="P33" i="11"/>
  <c r="P31" i="11"/>
  <c r="Q67" i="10"/>
  <c r="Q56" i="10"/>
  <c r="P43" i="11"/>
  <c r="N21" i="11"/>
  <c r="N27" i="11" s="1"/>
  <c r="O42" i="11"/>
  <c r="L25" i="16" s="1"/>
  <c r="O17" i="11"/>
  <c r="O25" i="11"/>
  <c r="P41" i="11"/>
  <c r="P24" i="11"/>
  <c r="P23" i="11"/>
  <c r="P40" i="11"/>
  <c r="O35" i="11"/>
  <c r="L21" i="6" s="1"/>
  <c r="P16" i="11"/>
  <c r="O13" i="11"/>
  <c r="P10" i="11"/>
  <c r="P12" i="11"/>
  <c r="P11" i="11"/>
  <c r="L27" i="16" l="1"/>
  <c r="M46" i="11"/>
  <c r="M49" i="11" s="1"/>
  <c r="J20" i="16"/>
  <c r="J22" i="16" s="1"/>
  <c r="M26" i="6"/>
  <c r="M26" i="16"/>
  <c r="M19" i="6"/>
  <c r="M19" i="16"/>
  <c r="I23" i="16"/>
  <c r="I29" i="16"/>
  <c r="I33" i="16" s="1"/>
  <c r="B14" i="15"/>
  <c r="M14" i="15"/>
  <c r="M17" i="15" s="1"/>
  <c r="M18" i="15" s="1"/>
  <c r="L14" i="15"/>
  <c r="L17" i="15" s="1"/>
  <c r="L18" i="15" s="1"/>
  <c r="K14" i="15"/>
  <c r="K17" i="15" s="1"/>
  <c r="K18" i="15" s="1"/>
  <c r="G14" i="15"/>
  <c r="G17" i="15" s="1"/>
  <c r="G18" i="15" s="1"/>
  <c r="F14" i="15"/>
  <c r="F17" i="15" s="1"/>
  <c r="F18" i="15" s="1"/>
  <c r="C14" i="15"/>
  <c r="C17" i="15" s="1"/>
  <c r="C18" i="15" s="1"/>
  <c r="J14" i="15"/>
  <c r="J17" i="15" s="1"/>
  <c r="J18" i="15" s="1"/>
  <c r="I14" i="15"/>
  <c r="I17" i="15" s="1"/>
  <c r="I18" i="15" s="1"/>
  <c r="H14" i="15"/>
  <c r="H17" i="15" s="1"/>
  <c r="H18" i="15" s="1"/>
  <c r="E14" i="15"/>
  <c r="E17" i="15" s="1"/>
  <c r="E18" i="15" s="1"/>
  <c r="D14" i="15"/>
  <c r="D17" i="15" s="1"/>
  <c r="D18" i="15" s="1"/>
  <c r="R56" i="10"/>
  <c r="M31" i="6"/>
  <c r="N37" i="11"/>
  <c r="K20" i="6"/>
  <c r="K22" i="6" s="1"/>
  <c r="K29" i="6" s="1"/>
  <c r="K33" i="6" s="1"/>
  <c r="O44" i="11"/>
  <c r="L25" i="6"/>
  <c r="L27" i="6" s="1"/>
  <c r="J23" i="6"/>
  <c r="P25" i="11"/>
  <c r="P17" i="11"/>
  <c r="O21" i="11"/>
  <c r="O27" i="11" s="1"/>
  <c r="P42" i="11"/>
  <c r="M25" i="16" s="1"/>
  <c r="M27" i="16" s="1"/>
  <c r="C52" i="16" s="1"/>
  <c r="P35" i="11"/>
  <c r="M21" i="6" s="1"/>
  <c r="P13" i="11"/>
  <c r="N46" i="11" l="1"/>
  <c r="N49" i="11" s="1"/>
  <c r="K20" i="16"/>
  <c r="K22" i="16" s="1"/>
  <c r="J29" i="16"/>
  <c r="J33" i="16" s="1"/>
  <c r="J23" i="16"/>
  <c r="B5" i="15"/>
  <c r="B6" i="15" s="1"/>
  <c r="O37" i="11"/>
  <c r="O46" i="11" s="1"/>
  <c r="L20" i="6"/>
  <c r="L22" i="6" s="1"/>
  <c r="L29" i="6" s="1"/>
  <c r="K23" i="6"/>
  <c r="P44" i="11"/>
  <c r="M25" i="6"/>
  <c r="M27" i="6" s="1"/>
  <c r="M10" i="6" s="1"/>
  <c r="P21" i="11"/>
  <c r="P27" i="11" s="1"/>
  <c r="D9" i="6" l="1"/>
  <c r="L20" i="16"/>
  <c r="L22" i="16" s="1"/>
  <c r="K29" i="16"/>
  <c r="K33" i="16" s="1"/>
  <c r="K23" i="16"/>
  <c r="B5" i="16"/>
  <c r="B33" i="16" s="1"/>
  <c r="P37" i="11"/>
  <c r="M20" i="16" s="1"/>
  <c r="M22" i="16" s="1"/>
  <c r="M20" i="6"/>
  <c r="M22" i="6" s="1"/>
  <c r="M29" i="6" s="1"/>
  <c r="M33" i="6" s="1"/>
  <c r="M12" i="6"/>
  <c r="L10" i="6" s="1"/>
  <c r="L23" i="6"/>
  <c r="I31" i="8"/>
  <c r="K6" i="8"/>
  <c r="K7" i="8" s="1"/>
  <c r="K8" i="8" s="1"/>
  <c r="K9" i="8" s="1"/>
  <c r="K10" i="8" s="1"/>
  <c r="K11" i="8" s="1"/>
  <c r="K12" i="8" s="1"/>
  <c r="K13" i="8" s="1"/>
  <c r="K14" i="8" s="1"/>
  <c r="H30" i="8"/>
  <c r="L29" i="16" l="1"/>
  <c r="L23" i="16"/>
  <c r="M23" i="16"/>
  <c r="M29" i="16"/>
  <c r="M33" i="16" s="1"/>
  <c r="D9" i="16"/>
  <c r="B7" i="16"/>
  <c r="D12" i="16"/>
  <c r="B6" i="16"/>
  <c r="J58" i="16"/>
  <c r="C51" i="16"/>
  <c r="C54" i="16" s="1"/>
  <c r="P46" i="11"/>
  <c r="P49" i="11" s="1"/>
  <c r="I5" i="6"/>
  <c r="M6" i="6"/>
  <c r="L9" i="6"/>
  <c r="M23" i="6"/>
  <c r="H21" i="8"/>
  <c r="H22" i="8"/>
  <c r="H23" i="8"/>
  <c r="H24" i="8"/>
  <c r="H25" i="8"/>
  <c r="H26" i="8"/>
  <c r="H27" i="8"/>
  <c r="H28" i="8"/>
  <c r="H29" i="8"/>
  <c r="B35" i="16" l="1"/>
  <c r="D40" i="16" s="1"/>
  <c r="C46" i="16"/>
  <c r="C47" i="16" s="1"/>
  <c r="C48" i="16" s="1"/>
  <c r="C49" i="16" s="1"/>
  <c r="B47" i="16" s="1"/>
  <c r="D3" i="7"/>
  <c r="D8" i="7" s="1"/>
  <c r="B51" i="16"/>
  <c r="B52" i="16"/>
  <c r="AF17" i="10"/>
  <c r="DH17" i="10"/>
  <c r="DO17" i="10"/>
  <c r="DZ17" i="10"/>
  <c r="V17" i="10"/>
  <c r="BE17" i="10"/>
  <c r="DT17" i="10"/>
  <c r="CU17" i="10"/>
  <c r="EM17" i="10"/>
  <c r="EP17" i="10"/>
  <c r="AL17" i="10"/>
  <c r="EJ17" i="10"/>
  <c r="CN17" i="10"/>
  <c r="CO17" i="10"/>
  <c r="BU17" i="10"/>
  <c r="CF17" i="10"/>
  <c r="ED17" i="10"/>
  <c r="ET17" i="10"/>
  <c r="DB17" i="10"/>
  <c r="AN17" i="10"/>
  <c r="EE17" i="10"/>
  <c r="EA17" i="10"/>
  <c r="EN17" i="10"/>
  <c r="CB17" i="10"/>
  <c r="T17" i="10"/>
  <c r="BB17" i="10"/>
  <c r="CK17" i="10"/>
  <c r="AD17" i="10"/>
  <c r="EK17" i="10"/>
  <c r="EG17" i="10"/>
  <c r="AG17" i="10"/>
  <c r="AA17" i="10"/>
  <c r="AP17" i="10"/>
  <c r="AQ17" i="10"/>
  <c r="DV17" i="10"/>
  <c r="AE17" i="10"/>
  <c r="DC17" i="10"/>
  <c r="EQ17" i="10"/>
  <c r="CT17" i="10"/>
  <c r="AS17" i="10"/>
  <c r="S17" i="10"/>
  <c r="AJ17" i="10"/>
  <c r="BR17" i="10"/>
  <c r="DA17" i="10"/>
  <c r="AT17" i="10"/>
  <c r="BP17" i="10"/>
  <c r="BZ17" i="10"/>
  <c r="W17" i="10"/>
  <c r="AW17" i="10"/>
  <c r="BG17" i="10"/>
  <c r="EL17" i="10"/>
  <c r="CS17" i="10"/>
  <c r="U17" i="10"/>
  <c r="DY17" i="10"/>
  <c r="BS17" i="10"/>
  <c r="BL17" i="10"/>
  <c r="BI17" i="10"/>
  <c r="AZ17" i="10"/>
  <c r="CH17" i="10"/>
  <c r="DQ17" i="10"/>
  <c r="BJ17" i="10"/>
  <c r="G24" i="10"/>
  <c r="G25" i="10" s="1"/>
  <c r="CX17" i="10"/>
  <c r="AM17" i="10"/>
  <c r="CP17" i="10"/>
  <c r="DJ17" i="10"/>
  <c r="BO17" i="10"/>
  <c r="DN17" i="10"/>
  <c r="CV17" i="10"/>
  <c r="DF17" i="10"/>
  <c r="BW17" i="10"/>
  <c r="CM17" i="10"/>
  <c r="AU17" i="10"/>
  <c r="BD17" i="10"/>
  <c r="CE17" i="10"/>
  <c r="BK17" i="10"/>
  <c r="AO17" i="10"/>
  <c r="DU17" i="10"/>
  <c r="DR17" i="10"/>
  <c r="BM17" i="10"/>
  <c r="DL17" i="10"/>
  <c r="ER17" i="10"/>
  <c r="DI17" i="10"/>
  <c r="DS17" i="10"/>
  <c r="EC17" i="10"/>
  <c r="Z17" i="10"/>
  <c r="CC17" i="10"/>
  <c r="EB17" i="10"/>
  <c r="X17" i="10"/>
  <c r="DX17" i="10"/>
  <c r="AK17" i="10"/>
  <c r="EH17" i="10"/>
  <c r="CI17" i="10"/>
  <c r="BV17" i="10"/>
  <c r="BC17" i="10"/>
  <c r="AC17" i="10"/>
  <c r="EO17" i="10"/>
  <c r="BA17" i="10"/>
  <c r="BT17" i="10"/>
  <c r="EI17" i="10"/>
  <c r="CA17" i="10"/>
  <c r="DE17" i="10"/>
  <c r="AH17" i="10"/>
  <c r="BQ17" i="10"/>
  <c r="CJ17" i="10"/>
  <c r="AB17" i="10"/>
  <c r="CQ17" i="10"/>
  <c r="CL17" i="10"/>
  <c r="CG17" i="10"/>
  <c r="DG17" i="10"/>
  <c r="BN17" i="10"/>
  <c r="BH17" i="10"/>
  <c r="BX17" i="10"/>
  <c r="ES17" i="10"/>
  <c r="DK17" i="10"/>
  <c r="AR17" i="10"/>
  <c r="CW17" i="10"/>
  <c r="AY17" i="10"/>
  <c r="CR17" i="10"/>
  <c r="AX17" i="10"/>
  <c r="CZ17" i="10"/>
  <c r="DP17" i="10"/>
  <c r="CD17" i="10"/>
  <c r="AI17" i="10"/>
  <c r="AV17" i="10"/>
  <c r="DW17" i="10"/>
  <c r="DM17" i="10"/>
  <c r="DD17" i="10"/>
  <c r="BY17" i="10"/>
  <c r="EF17" i="10"/>
  <c r="BF17" i="10"/>
  <c r="Y17" i="10"/>
  <c r="CY17" i="10"/>
  <c r="I6" i="6"/>
  <c r="H6" i="6" s="1"/>
  <c r="H5" i="6"/>
  <c r="L12" i="6"/>
  <c r="M7" i="6"/>
  <c r="H31" i="8"/>
  <c r="C50" i="7"/>
  <c r="C62" i="7" s="1"/>
  <c r="C74" i="7" s="1"/>
  <c r="C86" i="7" s="1"/>
  <c r="C98" i="7" s="1"/>
  <c r="C110" i="7" s="1"/>
  <c r="C122" i="7" s="1"/>
  <c r="C134" i="7" s="1"/>
  <c r="C146" i="7" s="1"/>
  <c r="C158" i="7" s="1"/>
  <c r="C170" i="7" s="1"/>
  <c r="C182" i="7" s="1"/>
  <c r="C194" i="7" s="1"/>
  <c r="C206" i="7" s="1"/>
  <c r="C218" i="7" s="1"/>
  <c r="C230" i="7" s="1"/>
  <c r="C242" i="7" s="1"/>
  <c r="C254" i="7" s="1"/>
  <c r="C266" i="7" s="1"/>
  <c r="C278" i="7" s="1"/>
  <c r="C290" i="7" s="1"/>
  <c r="C302" i="7" s="1"/>
  <c r="C314" i="7" s="1"/>
  <c r="C326" i="7" s="1"/>
  <c r="C338" i="7" s="1"/>
  <c r="C350" i="7" s="1"/>
  <c r="C362" i="7" s="1"/>
  <c r="C374" i="7" s="1"/>
  <c r="C386" i="7" s="1"/>
  <c r="C49" i="7"/>
  <c r="C61" i="7" s="1"/>
  <c r="C73" i="7" s="1"/>
  <c r="C85" i="7" s="1"/>
  <c r="C97" i="7" s="1"/>
  <c r="C109" i="7" s="1"/>
  <c r="C121" i="7" s="1"/>
  <c r="C133" i="7" s="1"/>
  <c r="C145" i="7" s="1"/>
  <c r="C157" i="7" s="1"/>
  <c r="C169" i="7" s="1"/>
  <c r="C181" i="7" s="1"/>
  <c r="C193" i="7" s="1"/>
  <c r="C205" i="7" s="1"/>
  <c r="C217" i="7" s="1"/>
  <c r="C229" i="7" s="1"/>
  <c r="C241" i="7" s="1"/>
  <c r="C253" i="7" s="1"/>
  <c r="C265" i="7" s="1"/>
  <c r="C277" i="7" s="1"/>
  <c r="C289" i="7" s="1"/>
  <c r="C301" i="7" s="1"/>
  <c r="C313" i="7" s="1"/>
  <c r="C325" i="7" s="1"/>
  <c r="C337" i="7" s="1"/>
  <c r="C349" i="7" s="1"/>
  <c r="C361" i="7" s="1"/>
  <c r="C373" i="7" s="1"/>
  <c r="C385" i="7" s="1"/>
  <c r="C48" i="7"/>
  <c r="C60" i="7" s="1"/>
  <c r="C72" i="7" s="1"/>
  <c r="C84" i="7" s="1"/>
  <c r="C96" i="7" s="1"/>
  <c r="C108" i="7" s="1"/>
  <c r="C120" i="7" s="1"/>
  <c r="C132" i="7" s="1"/>
  <c r="C144" i="7" s="1"/>
  <c r="C156" i="7" s="1"/>
  <c r="C168" i="7" s="1"/>
  <c r="C180" i="7" s="1"/>
  <c r="C192" i="7" s="1"/>
  <c r="C204" i="7" s="1"/>
  <c r="C216" i="7" s="1"/>
  <c r="C228" i="7" s="1"/>
  <c r="C240" i="7" s="1"/>
  <c r="C252" i="7" s="1"/>
  <c r="C264" i="7" s="1"/>
  <c r="C276" i="7" s="1"/>
  <c r="C288" i="7" s="1"/>
  <c r="C300" i="7" s="1"/>
  <c r="C312" i="7" s="1"/>
  <c r="C324" i="7" s="1"/>
  <c r="C336" i="7" s="1"/>
  <c r="C348" i="7" s="1"/>
  <c r="C360" i="7" s="1"/>
  <c r="C372" i="7" s="1"/>
  <c r="C384" i="7" s="1"/>
  <c r="C47" i="7"/>
  <c r="C59" i="7" s="1"/>
  <c r="C71" i="7" s="1"/>
  <c r="C83" i="7" s="1"/>
  <c r="C95" i="7" s="1"/>
  <c r="C107" i="7" s="1"/>
  <c r="C119" i="7" s="1"/>
  <c r="C131" i="7" s="1"/>
  <c r="C143" i="7" s="1"/>
  <c r="C155" i="7" s="1"/>
  <c r="C167" i="7" s="1"/>
  <c r="C179" i="7" s="1"/>
  <c r="C191" i="7" s="1"/>
  <c r="C203" i="7" s="1"/>
  <c r="C215" i="7" s="1"/>
  <c r="C227" i="7" s="1"/>
  <c r="C239" i="7" s="1"/>
  <c r="C251" i="7" s="1"/>
  <c r="C263" i="7" s="1"/>
  <c r="C275" i="7" s="1"/>
  <c r="C287" i="7" s="1"/>
  <c r="C299" i="7" s="1"/>
  <c r="C311" i="7" s="1"/>
  <c r="C323" i="7" s="1"/>
  <c r="C335" i="7" s="1"/>
  <c r="C347" i="7" s="1"/>
  <c r="C359" i="7" s="1"/>
  <c r="C371" i="7" s="1"/>
  <c r="C383" i="7" s="1"/>
  <c r="C46" i="7"/>
  <c r="C58" i="7" s="1"/>
  <c r="C70" i="7" s="1"/>
  <c r="C82" i="7" s="1"/>
  <c r="C94" i="7" s="1"/>
  <c r="C106" i="7" s="1"/>
  <c r="C118" i="7" s="1"/>
  <c r="C130" i="7" s="1"/>
  <c r="C142" i="7" s="1"/>
  <c r="C154" i="7" s="1"/>
  <c r="C166" i="7" s="1"/>
  <c r="C178" i="7" s="1"/>
  <c r="C190" i="7" s="1"/>
  <c r="C202" i="7" s="1"/>
  <c r="C214" i="7" s="1"/>
  <c r="C226" i="7" s="1"/>
  <c r="C238" i="7" s="1"/>
  <c r="C250" i="7" s="1"/>
  <c r="C262" i="7" s="1"/>
  <c r="C274" i="7" s="1"/>
  <c r="C286" i="7" s="1"/>
  <c r="C298" i="7" s="1"/>
  <c r="C310" i="7" s="1"/>
  <c r="C322" i="7" s="1"/>
  <c r="C334" i="7" s="1"/>
  <c r="C346" i="7" s="1"/>
  <c r="C358" i="7" s="1"/>
  <c r="C370" i="7" s="1"/>
  <c r="C382" i="7" s="1"/>
  <c r="C45" i="7"/>
  <c r="C57" i="7" s="1"/>
  <c r="C69" i="7" s="1"/>
  <c r="C81" i="7" s="1"/>
  <c r="C93" i="7" s="1"/>
  <c r="C105" i="7" s="1"/>
  <c r="C117" i="7" s="1"/>
  <c r="C129" i="7" s="1"/>
  <c r="C141" i="7" s="1"/>
  <c r="C153" i="7" s="1"/>
  <c r="C165" i="7" s="1"/>
  <c r="C177" i="7" s="1"/>
  <c r="C189" i="7" s="1"/>
  <c r="C201" i="7" s="1"/>
  <c r="C213" i="7" s="1"/>
  <c r="C225" i="7" s="1"/>
  <c r="C237" i="7" s="1"/>
  <c r="C249" i="7" s="1"/>
  <c r="C261" i="7" s="1"/>
  <c r="C273" i="7" s="1"/>
  <c r="C285" i="7" s="1"/>
  <c r="C297" i="7" s="1"/>
  <c r="C309" i="7" s="1"/>
  <c r="C321" i="7" s="1"/>
  <c r="C333" i="7" s="1"/>
  <c r="C345" i="7" s="1"/>
  <c r="C357" i="7" s="1"/>
  <c r="C369" i="7" s="1"/>
  <c r="C381" i="7" s="1"/>
  <c r="C44" i="7"/>
  <c r="C56" i="7" s="1"/>
  <c r="C68" i="7" s="1"/>
  <c r="C80" i="7" s="1"/>
  <c r="C92" i="7" s="1"/>
  <c r="C104" i="7" s="1"/>
  <c r="C116" i="7" s="1"/>
  <c r="C128" i="7" s="1"/>
  <c r="C140" i="7" s="1"/>
  <c r="C152" i="7" s="1"/>
  <c r="C164" i="7" s="1"/>
  <c r="C176" i="7" s="1"/>
  <c r="C188" i="7" s="1"/>
  <c r="C200" i="7" s="1"/>
  <c r="C212" i="7" s="1"/>
  <c r="C224" i="7" s="1"/>
  <c r="C236" i="7" s="1"/>
  <c r="C248" i="7" s="1"/>
  <c r="C260" i="7" s="1"/>
  <c r="C272" i="7" s="1"/>
  <c r="C284" i="7" s="1"/>
  <c r="C296" i="7" s="1"/>
  <c r="C308" i="7" s="1"/>
  <c r="C320" i="7" s="1"/>
  <c r="C332" i="7" s="1"/>
  <c r="C344" i="7" s="1"/>
  <c r="C356" i="7" s="1"/>
  <c r="C368" i="7" s="1"/>
  <c r="C380" i="7" s="1"/>
  <c r="C43" i="7"/>
  <c r="C55" i="7" s="1"/>
  <c r="C67" i="7" s="1"/>
  <c r="C79" i="7" s="1"/>
  <c r="C91" i="7" s="1"/>
  <c r="C103" i="7" s="1"/>
  <c r="C115" i="7" s="1"/>
  <c r="C127" i="7" s="1"/>
  <c r="C139" i="7" s="1"/>
  <c r="C151" i="7" s="1"/>
  <c r="C163" i="7" s="1"/>
  <c r="C175" i="7" s="1"/>
  <c r="C187" i="7" s="1"/>
  <c r="C199" i="7" s="1"/>
  <c r="C211" i="7" s="1"/>
  <c r="C223" i="7" s="1"/>
  <c r="C235" i="7" s="1"/>
  <c r="C247" i="7" s="1"/>
  <c r="C259" i="7" s="1"/>
  <c r="C271" i="7" s="1"/>
  <c r="C283" i="7" s="1"/>
  <c r="C295" i="7" s="1"/>
  <c r="C307" i="7" s="1"/>
  <c r="C319" i="7" s="1"/>
  <c r="C331" i="7" s="1"/>
  <c r="C343" i="7" s="1"/>
  <c r="C355" i="7" s="1"/>
  <c r="C367" i="7" s="1"/>
  <c r="C379" i="7" s="1"/>
  <c r="C42" i="7"/>
  <c r="C54" i="7" s="1"/>
  <c r="C66" i="7" s="1"/>
  <c r="C78" i="7" s="1"/>
  <c r="C90" i="7" s="1"/>
  <c r="C102" i="7" s="1"/>
  <c r="C114" i="7" s="1"/>
  <c r="C126" i="7" s="1"/>
  <c r="C138" i="7" s="1"/>
  <c r="C150" i="7" s="1"/>
  <c r="C162" i="7" s="1"/>
  <c r="C174" i="7" s="1"/>
  <c r="C186" i="7" s="1"/>
  <c r="C198" i="7" s="1"/>
  <c r="C210" i="7" s="1"/>
  <c r="C222" i="7" s="1"/>
  <c r="C234" i="7" s="1"/>
  <c r="C246" i="7" s="1"/>
  <c r="C258" i="7" s="1"/>
  <c r="C270" i="7" s="1"/>
  <c r="C282" i="7" s="1"/>
  <c r="C294" i="7" s="1"/>
  <c r="C306" i="7" s="1"/>
  <c r="C318" i="7" s="1"/>
  <c r="C330" i="7" s="1"/>
  <c r="C342" i="7" s="1"/>
  <c r="C354" i="7" s="1"/>
  <c r="C366" i="7" s="1"/>
  <c r="C378" i="7" s="1"/>
  <c r="C41" i="7"/>
  <c r="C53" i="7" s="1"/>
  <c r="C65" i="7" s="1"/>
  <c r="C77" i="7" s="1"/>
  <c r="C89" i="7" s="1"/>
  <c r="C101" i="7" s="1"/>
  <c r="C113" i="7" s="1"/>
  <c r="C125" i="7" s="1"/>
  <c r="C137" i="7" s="1"/>
  <c r="C149" i="7" s="1"/>
  <c r="C161" i="7" s="1"/>
  <c r="C173" i="7" s="1"/>
  <c r="C185" i="7" s="1"/>
  <c r="C197" i="7" s="1"/>
  <c r="C209" i="7" s="1"/>
  <c r="C221" i="7" s="1"/>
  <c r="C233" i="7" s="1"/>
  <c r="C245" i="7" s="1"/>
  <c r="C257" i="7" s="1"/>
  <c r="C269" i="7" s="1"/>
  <c r="C281" i="7" s="1"/>
  <c r="C293" i="7" s="1"/>
  <c r="C305" i="7" s="1"/>
  <c r="C317" i="7" s="1"/>
  <c r="C329" i="7" s="1"/>
  <c r="C341" i="7" s="1"/>
  <c r="C353" i="7" s="1"/>
  <c r="C365" i="7" s="1"/>
  <c r="C377" i="7" s="1"/>
  <c r="C40" i="7"/>
  <c r="C52" i="7" s="1"/>
  <c r="C64" i="7" s="1"/>
  <c r="C76" i="7" s="1"/>
  <c r="C88" i="7" s="1"/>
  <c r="C100" i="7" s="1"/>
  <c r="C112" i="7" s="1"/>
  <c r="C124" i="7" s="1"/>
  <c r="C136" i="7" s="1"/>
  <c r="C148" i="7" s="1"/>
  <c r="C160" i="7" s="1"/>
  <c r="C172" i="7" s="1"/>
  <c r="C184" i="7" s="1"/>
  <c r="C196" i="7" s="1"/>
  <c r="C208" i="7" s="1"/>
  <c r="C220" i="7" s="1"/>
  <c r="C232" i="7" s="1"/>
  <c r="C244" i="7" s="1"/>
  <c r="C256" i="7" s="1"/>
  <c r="C268" i="7" s="1"/>
  <c r="C280" i="7" s="1"/>
  <c r="C292" i="7" s="1"/>
  <c r="C304" i="7" s="1"/>
  <c r="C316" i="7" s="1"/>
  <c r="C328" i="7" s="1"/>
  <c r="C340" i="7" s="1"/>
  <c r="C352" i="7" s="1"/>
  <c r="C364" i="7" s="1"/>
  <c r="C376" i="7" s="1"/>
  <c r="C39" i="7"/>
  <c r="C51" i="7" s="1"/>
  <c r="C63" i="7" s="1"/>
  <c r="C75" i="7" s="1"/>
  <c r="C87" i="7" s="1"/>
  <c r="C99" i="7" s="1"/>
  <c r="C111" i="7" s="1"/>
  <c r="C123" i="7" s="1"/>
  <c r="C135" i="7" s="1"/>
  <c r="C147" i="7" s="1"/>
  <c r="C159" i="7" s="1"/>
  <c r="C171" i="7" s="1"/>
  <c r="C183" i="7" s="1"/>
  <c r="C195" i="7" s="1"/>
  <c r="C207" i="7" s="1"/>
  <c r="C219" i="7" s="1"/>
  <c r="C231" i="7" s="1"/>
  <c r="C243" i="7" s="1"/>
  <c r="C255" i="7" s="1"/>
  <c r="C267" i="7" s="1"/>
  <c r="C279" i="7" s="1"/>
  <c r="C291" i="7" s="1"/>
  <c r="C303" i="7" s="1"/>
  <c r="C315" i="7" s="1"/>
  <c r="C327" i="7" s="1"/>
  <c r="C339" i="7" s="1"/>
  <c r="C351" i="7" s="1"/>
  <c r="C363" i="7" s="1"/>
  <c r="C375" i="7" s="1"/>
  <c r="K28" i="7"/>
  <c r="K29" i="7" s="1"/>
  <c r="K30" i="7" s="1"/>
  <c r="B28" i="7"/>
  <c r="B29" i="7" s="1"/>
  <c r="F29" i="7" s="1"/>
  <c r="Q27" i="7"/>
  <c r="F27" i="7"/>
  <c r="C40" i="16" l="1"/>
  <c r="I40" i="16"/>
  <c r="F40" i="16"/>
  <c r="J40" i="16"/>
  <c r="K40" i="16"/>
  <c r="L40" i="16"/>
  <c r="M60" i="16"/>
  <c r="E40" i="16"/>
  <c r="G40" i="16"/>
  <c r="K60" i="16"/>
  <c r="M40" i="16"/>
  <c r="H40" i="16"/>
  <c r="I26" i="7"/>
  <c r="D27" i="7" s="1"/>
  <c r="E27" i="7" s="1"/>
  <c r="B54" i="16"/>
  <c r="B48" i="16"/>
  <c r="B46" i="16"/>
  <c r="CR69" i="10"/>
  <c r="CR19" i="10"/>
  <c r="CR58" i="10"/>
  <c r="BT69" i="10"/>
  <c r="BT58" i="10"/>
  <c r="BT19" i="10"/>
  <c r="DR69" i="10"/>
  <c r="DR19" i="10"/>
  <c r="DR58" i="10"/>
  <c r="CH69" i="10"/>
  <c r="CH58" i="10"/>
  <c r="CH19" i="10"/>
  <c r="CT69" i="10"/>
  <c r="CT58" i="10"/>
  <c r="CT19" i="10"/>
  <c r="DB69" i="10"/>
  <c r="DB19" i="10"/>
  <c r="DB58" i="10"/>
  <c r="AY58" i="10"/>
  <c r="AY69" i="10"/>
  <c r="AY19" i="10"/>
  <c r="BA69" i="10"/>
  <c r="BA58" i="10"/>
  <c r="BA19" i="10"/>
  <c r="DU19" i="10"/>
  <c r="DU69" i="10"/>
  <c r="DU58" i="10"/>
  <c r="AZ69" i="10"/>
  <c r="AZ58" i="10"/>
  <c r="AZ19" i="10"/>
  <c r="EQ19" i="10"/>
  <c r="EQ58" i="10"/>
  <c r="EQ69" i="10"/>
  <c r="ET58" i="10"/>
  <c r="ET69" i="10"/>
  <c r="ET19" i="10"/>
  <c r="CW69" i="10"/>
  <c r="CW58" i="10"/>
  <c r="CW19" i="10"/>
  <c r="EO69" i="10"/>
  <c r="EO58" i="10"/>
  <c r="EO19" i="10"/>
  <c r="AO69" i="10"/>
  <c r="AO58" i="10"/>
  <c r="AO19" i="10"/>
  <c r="BI69" i="10"/>
  <c r="BI58" i="10"/>
  <c r="BI19" i="10"/>
  <c r="DC69" i="10"/>
  <c r="DC19" i="10"/>
  <c r="DC58" i="10"/>
  <c r="ED58" i="10"/>
  <c r="ED19" i="10"/>
  <c r="ED69" i="10"/>
  <c r="BM19" i="10"/>
  <c r="BM69" i="10"/>
  <c r="BM58" i="10"/>
  <c r="AR19" i="10"/>
  <c r="AR69" i="10"/>
  <c r="AR58" i="10"/>
  <c r="AC58" i="10"/>
  <c r="AC69" i="10"/>
  <c r="AC19" i="10"/>
  <c r="BK69" i="10"/>
  <c r="BK58" i="10"/>
  <c r="BK19" i="10"/>
  <c r="BL69" i="10"/>
  <c r="BL19" i="10"/>
  <c r="BL58" i="10"/>
  <c r="AE58" i="10"/>
  <c r="AE19" i="10"/>
  <c r="AE69" i="10"/>
  <c r="CF69" i="10"/>
  <c r="CF58" i="10"/>
  <c r="CF19" i="10"/>
  <c r="AX69" i="10"/>
  <c r="AX58" i="10"/>
  <c r="AX19" i="10"/>
  <c r="DK58" i="10"/>
  <c r="DK19" i="10"/>
  <c r="DK69" i="10"/>
  <c r="BC58" i="10"/>
  <c r="BC19" i="10"/>
  <c r="BC69" i="10"/>
  <c r="CE69" i="10"/>
  <c r="CE19" i="10"/>
  <c r="CE58" i="10"/>
  <c r="BS69" i="10"/>
  <c r="BS19" i="10"/>
  <c r="BS58" i="10"/>
  <c r="DV69" i="10"/>
  <c r="DV58" i="10"/>
  <c r="DV19" i="10"/>
  <c r="BU19" i="10"/>
  <c r="BU69" i="10"/>
  <c r="BU58" i="10"/>
  <c r="ES69" i="10"/>
  <c r="ES58" i="10"/>
  <c r="ES19" i="10"/>
  <c r="BV58" i="10"/>
  <c r="BV69" i="10"/>
  <c r="BV19" i="10"/>
  <c r="BD69" i="10"/>
  <c r="BD58" i="10"/>
  <c r="BD19" i="10"/>
  <c r="DY19" i="10"/>
  <c r="DY69" i="10"/>
  <c r="DY58" i="10"/>
  <c r="AQ69" i="10"/>
  <c r="AQ19" i="10"/>
  <c r="AQ58" i="10"/>
  <c r="CO69" i="10"/>
  <c r="CO58" i="10"/>
  <c r="CO19" i="10"/>
  <c r="BX19" i="10"/>
  <c r="BX69" i="10"/>
  <c r="BX58" i="10"/>
  <c r="CI19" i="10"/>
  <c r="CI58" i="10"/>
  <c r="CI69" i="10"/>
  <c r="AU69" i="10"/>
  <c r="AU58" i="10"/>
  <c r="AU19" i="10"/>
  <c r="U58" i="10"/>
  <c r="U19" i="10"/>
  <c r="U69" i="10"/>
  <c r="AP58" i="10"/>
  <c r="AP69" i="10"/>
  <c r="AP19" i="10"/>
  <c r="CN69" i="10"/>
  <c r="CN58" i="10"/>
  <c r="CN19" i="10"/>
  <c r="BH69" i="10"/>
  <c r="BH58" i="10"/>
  <c r="BH19" i="10"/>
  <c r="CM69" i="10"/>
  <c r="CM58" i="10"/>
  <c r="CM19" i="10"/>
  <c r="CS69" i="10"/>
  <c r="CS58" i="10"/>
  <c r="CS19" i="10"/>
  <c r="AA69" i="10"/>
  <c r="AA19" i="10"/>
  <c r="AA58" i="10"/>
  <c r="EJ58" i="10"/>
  <c r="EJ69" i="10"/>
  <c r="EJ19" i="10"/>
  <c r="BN58" i="10"/>
  <c r="BN19" i="10"/>
  <c r="BN69" i="10"/>
  <c r="AK58" i="10"/>
  <c r="AK69" i="10"/>
  <c r="AK19" i="10"/>
  <c r="BW69" i="10"/>
  <c r="BW58" i="10"/>
  <c r="BW19" i="10"/>
  <c r="EL69" i="10"/>
  <c r="EL58" i="10"/>
  <c r="EL19" i="10"/>
  <c r="AG69" i="10"/>
  <c r="AG58" i="10"/>
  <c r="AG19" i="10"/>
  <c r="AL19" i="10"/>
  <c r="AL69" i="10"/>
  <c r="AL58" i="10"/>
  <c r="DQ58" i="10"/>
  <c r="DQ69" i="10"/>
  <c r="DQ19" i="10"/>
  <c r="CY19" i="10"/>
  <c r="CY58" i="10"/>
  <c r="CY69" i="10"/>
  <c r="EF69" i="10"/>
  <c r="EF58" i="10"/>
  <c r="EF19" i="10"/>
  <c r="DG69" i="10"/>
  <c r="DG58" i="10"/>
  <c r="DG19" i="10"/>
  <c r="DX19" i="10"/>
  <c r="DX69" i="10"/>
  <c r="DX58" i="10"/>
  <c r="DF69" i="10"/>
  <c r="DF58" i="10"/>
  <c r="DF19" i="10"/>
  <c r="BG69" i="10"/>
  <c r="BG58" i="10"/>
  <c r="BG19" i="10"/>
  <c r="EG58" i="10"/>
  <c r="EG69" i="10"/>
  <c r="EG19" i="10"/>
  <c r="EP69" i="10"/>
  <c r="EP58" i="10"/>
  <c r="EP19" i="10"/>
  <c r="BY19" i="10"/>
  <c r="BY58" i="10"/>
  <c r="BY69" i="10"/>
  <c r="CG58" i="10"/>
  <c r="CG69" i="10"/>
  <c r="CG19" i="10"/>
  <c r="X69" i="10"/>
  <c r="X58" i="10"/>
  <c r="X19" i="10"/>
  <c r="CV69" i="10"/>
  <c r="CV58" i="10"/>
  <c r="CV19" i="10"/>
  <c r="AW69" i="10"/>
  <c r="AW58" i="10"/>
  <c r="AW19" i="10"/>
  <c r="EK19" i="10"/>
  <c r="EK58" i="10"/>
  <c r="EK69" i="10"/>
  <c r="EM69" i="10"/>
  <c r="EM19" i="10"/>
  <c r="EM58" i="10"/>
  <c r="DD69" i="10"/>
  <c r="DD58" i="10"/>
  <c r="DD19" i="10"/>
  <c r="CL19" i="10"/>
  <c r="CL58" i="10"/>
  <c r="CL69" i="10"/>
  <c r="EB69" i="10"/>
  <c r="EB58" i="10"/>
  <c r="EB19" i="10"/>
  <c r="DN19" i="10"/>
  <c r="DN69" i="10"/>
  <c r="DN58" i="10"/>
  <c r="W69" i="10"/>
  <c r="W19" i="10"/>
  <c r="W58" i="10"/>
  <c r="AD69" i="10"/>
  <c r="AD58" i="10"/>
  <c r="AD19" i="10"/>
  <c r="CU58" i="10"/>
  <c r="CU19" i="10"/>
  <c r="CU69" i="10"/>
  <c r="AN19" i="10"/>
  <c r="AN69" i="10"/>
  <c r="AN58" i="10"/>
  <c r="BZ69" i="10"/>
  <c r="BZ19" i="10"/>
  <c r="BZ58" i="10"/>
  <c r="CK58" i="10"/>
  <c r="CK19" i="10"/>
  <c r="CK69" i="10"/>
  <c r="DT69" i="10"/>
  <c r="DT58" i="10"/>
  <c r="DT19" i="10"/>
  <c r="Z19" i="10"/>
  <c r="Z58" i="10"/>
  <c r="Z69" i="10"/>
  <c r="BP69" i="10"/>
  <c r="BP58" i="10"/>
  <c r="BP19" i="10"/>
  <c r="BB58" i="10"/>
  <c r="BB69" i="10"/>
  <c r="BB19" i="10"/>
  <c r="BE58" i="10"/>
  <c r="BE69" i="10"/>
  <c r="BE19" i="10"/>
  <c r="AS69" i="10"/>
  <c r="AS58" i="10"/>
  <c r="AS19" i="10"/>
  <c r="DM58" i="10"/>
  <c r="DM69" i="10"/>
  <c r="DM19" i="10"/>
  <c r="AB69" i="10"/>
  <c r="AB58" i="10"/>
  <c r="AB19" i="10"/>
  <c r="CJ69" i="10"/>
  <c r="CJ58" i="10"/>
  <c r="CJ19" i="10"/>
  <c r="T58" i="10"/>
  <c r="T19" i="10"/>
  <c r="T69" i="10"/>
  <c r="V69" i="10"/>
  <c r="V58" i="10"/>
  <c r="V19" i="10"/>
  <c r="Y69" i="10"/>
  <c r="Y58" i="10"/>
  <c r="Y19" i="10"/>
  <c r="BF19" i="10"/>
  <c r="BF69" i="10"/>
  <c r="BF58" i="10"/>
  <c r="CQ69" i="10"/>
  <c r="CQ58" i="10"/>
  <c r="CQ19" i="10"/>
  <c r="DW69" i="10"/>
  <c r="DW58" i="10"/>
  <c r="DW19" i="10"/>
  <c r="EC69" i="10"/>
  <c r="EC58" i="10"/>
  <c r="EC19" i="10"/>
  <c r="AI69" i="10"/>
  <c r="AI19" i="10"/>
  <c r="AI58" i="10"/>
  <c r="BQ19" i="10"/>
  <c r="BQ69" i="10"/>
  <c r="BQ58" i="10"/>
  <c r="DS69" i="10"/>
  <c r="DS58" i="10"/>
  <c r="DS19" i="10"/>
  <c r="AM19" i="10"/>
  <c r="AM69" i="10"/>
  <c r="AM58" i="10"/>
  <c r="DA58" i="10"/>
  <c r="DA69" i="10"/>
  <c r="DA19" i="10"/>
  <c r="CB58" i="10"/>
  <c r="CB19" i="10"/>
  <c r="CB69" i="10"/>
  <c r="DZ69" i="10"/>
  <c r="DZ19" i="10"/>
  <c r="DZ58" i="10"/>
  <c r="DJ69" i="10"/>
  <c r="DJ58" i="10"/>
  <c r="DJ19" i="10"/>
  <c r="AV58" i="10"/>
  <c r="AV69" i="10"/>
  <c r="AV19" i="10"/>
  <c r="AT69" i="10"/>
  <c r="AT19" i="10"/>
  <c r="AT58" i="10"/>
  <c r="CD19" i="10"/>
  <c r="CD69" i="10"/>
  <c r="CD58" i="10"/>
  <c r="AH19" i="10"/>
  <c r="AH58" i="10"/>
  <c r="AH69" i="10"/>
  <c r="DI58" i="10"/>
  <c r="DI19" i="10"/>
  <c r="DI69" i="10"/>
  <c r="CX69" i="10"/>
  <c r="CX19" i="10"/>
  <c r="CX58" i="10"/>
  <c r="BR69" i="10"/>
  <c r="BR58" i="10"/>
  <c r="BR19" i="10"/>
  <c r="EN69" i="10"/>
  <c r="EN19" i="10"/>
  <c r="EN58" i="10"/>
  <c r="DO19" i="10"/>
  <c r="DO58" i="10"/>
  <c r="DO69" i="10"/>
  <c r="BO69" i="10"/>
  <c r="BO19" i="10"/>
  <c r="BO58" i="10"/>
  <c r="CP19" i="10"/>
  <c r="CP69" i="10"/>
  <c r="CP58" i="10"/>
  <c r="DP69" i="10"/>
  <c r="DP19" i="10"/>
  <c r="DP58" i="10"/>
  <c r="DE19" i="10"/>
  <c r="DE58" i="10"/>
  <c r="DE69" i="10"/>
  <c r="ER69" i="10"/>
  <c r="ER58" i="10"/>
  <c r="ER19" i="10"/>
  <c r="AJ69" i="10"/>
  <c r="AJ58" i="10"/>
  <c r="AJ19" i="10"/>
  <c r="EA58" i="10"/>
  <c r="EA19" i="10"/>
  <c r="EA69" i="10"/>
  <c r="DH69" i="10"/>
  <c r="DH19" i="10"/>
  <c r="DH58" i="10"/>
  <c r="EI69" i="10"/>
  <c r="EI19" i="10"/>
  <c r="EI58" i="10"/>
  <c r="EH19" i="10"/>
  <c r="EH69" i="10"/>
  <c r="EH58" i="10"/>
  <c r="CC69" i="10"/>
  <c r="CC58" i="10"/>
  <c r="CC19" i="10"/>
  <c r="CZ58" i="10"/>
  <c r="CZ69" i="10"/>
  <c r="CZ19" i="10"/>
  <c r="CA58" i="10"/>
  <c r="CA19" i="10"/>
  <c r="CA69" i="10"/>
  <c r="DL69" i="10"/>
  <c r="DL19" i="10"/>
  <c r="DL58" i="10"/>
  <c r="BJ69" i="10"/>
  <c r="BJ58" i="10"/>
  <c r="BJ19" i="10"/>
  <c r="S19" i="10"/>
  <c r="S69" i="10"/>
  <c r="S58" i="10"/>
  <c r="EE58" i="10"/>
  <c r="EE69" i="10"/>
  <c r="EE19" i="10"/>
  <c r="AF58" i="10"/>
  <c r="AF69" i="10"/>
  <c r="AF19" i="10"/>
  <c r="I7" i="6"/>
  <c r="L6" i="6"/>
  <c r="L5" i="6"/>
  <c r="F28" i="7"/>
  <c r="Q28" i="7"/>
  <c r="D9" i="7"/>
  <c r="K31" i="7"/>
  <c r="Q30" i="7"/>
  <c r="Q29" i="7"/>
  <c r="B30" i="7"/>
  <c r="G27" i="7" l="1"/>
  <c r="H27" i="7" s="1"/>
  <c r="B49" i="16"/>
  <c r="H7" i="6"/>
  <c r="I9" i="6"/>
  <c r="I5" i="16" s="1"/>
  <c r="L7" i="6"/>
  <c r="K32" i="7"/>
  <c r="Q31" i="7"/>
  <c r="F30" i="7"/>
  <c r="B31" i="7"/>
  <c r="I6" i="16" l="1"/>
  <c r="H6" i="16" s="1"/>
  <c r="H5" i="16"/>
  <c r="I10" i="6"/>
  <c r="H10" i="6" s="1"/>
  <c r="H9" i="6"/>
  <c r="F31" i="7"/>
  <c r="B32" i="7"/>
  <c r="I27" i="7"/>
  <c r="D28" i="7" s="1"/>
  <c r="E28" i="7" s="1"/>
  <c r="Q32" i="7"/>
  <c r="K33" i="7"/>
  <c r="I7" i="16" l="1"/>
  <c r="E31" i="16" s="1"/>
  <c r="E33" i="16" s="1"/>
  <c r="I11" i="6"/>
  <c r="I47" i="11" s="1"/>
  <c r="Q33" i="7"/>
  <c r="K34" i="7"/>
  <c r="G28" i="7"/>
  <c r="H28" i="7" s="1"/>
  <c r="B33" i="7"/>
  <c r="F32" i="7"/>
  <c r="F31" i="6" l="1"/>
  <c r="F33" i="6" s="1"/>
  <c r="I49" i="11"/>
  <c r="G31" i="16"/>
  <c r="G33" i="16" s="1"/>
  <c r="F31" i="16"/>
  <c r="F33" i="16" s="1"/>
  <c r="H47" i="11"/>
  <c r="E31" i="6" s="1"/>
  <c r="E33" i="6" s="1"/>
  <c r="J47" i="11"/>
  <c r="J49" i="11" s="1"/>
  <c r="H7" i="16"/>
  <c r="L31" i="16"/>
  <c r="L33" i="16" s="1"/>
  <c r="O47" i="11"/>
  <c r="E47" i="11"/>
  <c r="E49" i="11" s="1"/>
  <c r="H11" i="6"/>
  <c r="Q34" i="7"/>
  <c r="K35" i="7"/>
  <c r="B34" i="7"/>
  <c r="F33" i="7"/>
  <c r="M5" i="16" l="1"/>
  <c r="M3" i="16"/>
  <c r="M4" i="16"/>
  <c r="H49" i="11"/>
  <c r="L58" i="16"/>
  <c r="O49" i="11"/>
  <c r="L31" i="6"/>
  <c r="L33" i="6" s="1"/>
  <c r="G31" i="6"/>
  <c r="G33" i="6" s="1"/>
  <c r="F34" i="7"/>
  <c r="B35" i="7"/>
  <c r="K36" i="7"/>
  <c r="Q35" i="7"/>
  <c r="I28" i="7"/>
  <c r="D29" i="7" s="1"/>
  <c r="E29" i="7" s="1"/>
  <c r="C64" i="11" l="1"/>
  <c r="C63" i="11"/>
  <c r="C62" i="11"/>
  <c r="H37" i="6"/>
  <c r="F8" i="16"/>
  <c r="F11" i="16"/>
  <c r="I8" i="16"/>
  <c r="H8" i="16" s="1"/>
  <c r="L3" i="16"/>
  <c r="K37" i="7"/>
  <c r="Q36" i="7"/>
  <c r="G29" i="7"/>
  <c r="H29" i="7" s="1"/>
  <c r="F35" i="7"/>
  <c r="B36" i="7"/>
  <c r="S46" i="16" l="1"/>
  <c r="C14" i="6"/>
  <c r="F12" i="6" s="1"/>
  <c r="C13" i="6"/>
  <c r="B13" i="6" s="1"/>
  <c r="F36" i="7"/>
  <c r="B37" i="7"/>
  <c r="Q37" i="7"/>
  <c r="K38" i="7"/>
  <c r="I12" i="6" l="1"/>
  <c r="H12" i="6" s="1"/>
  <c r="C15" i="6"/>
  <c r="S37" i="6" s="1"/>
  <c r="I29" i="7"/>
  <c r="D30" i="7" s="1"/>
  <c r="E30" i="7" s="1"/>
  <c r="Q38" i="7"/>
  <c r="K39" i="7"/>
  <c r="F37" i="7"/>
  <c r="B38" i="7"/>
  <c r="Q39" i="7" l="1"/>
  <c r="K40" i="7"/>
  <c r="B39" i="7"/>
  <c r="F38" i="7"/>
  <c r="G30" i="7"/>
  <c r="H30" i="7" s="1"/>
  <c r="B40" i="7" l="1"/>
  <c r="F39" i="7"/>
  <c r="Q40" i="7"/>
  <c r="K41" i="7"/>
  <c r="I30" i="7" l="1"/>
  <c r="D31" i="7" s="1"/>
  <c r="E31" i="7" s="1"/>
  <c r="F40" i="7"/>
  <c r="B41" i="7"/>
  <c r="K42" i="7"/>
  <c r="Q41" i="7"/>
  <c r="K43" i="7" l="1"/>
  <c r="Q42" i="7"/>
  <c r="F41" i="7"/>
  <c r="B42" i="7"/>
  <c r="G31" i="7"/>
  <c r="H31" i="7" s="1"/>
  <c r="F42" i="7" l="1"/>
  <c r="B43" i="7"/>
  <c r="I31" i="7"/>
  <c r="D32" i="7" s="1"/>
  <c r="E32" i="7" s="1"/>
  <c r="K44" i="7"/>
  <c r="Q43" i="7"/>
  <c r="K45" i="7" l="1"/>
  <c r="Q44" i="7"/>
  <c r="F43" i="7"/>
  <c r="B44" i="7"/>
  <c r="G32" i="7"/>
  <c r="H32" i="7" s="1"/>
  <c r="I32" i="7" l="1"/>
  <c r="D33" i="7" s="1"/>
  <c r="E33" i="7" s="1"/>
  <c r="F44" i="7"/>
  <c r="B45" i="7"/>
  <c r="Q45" i="7"/>
  <c r="K46" i="7"/>
  <c r="G33" i="7" l="1"/>
  <c r="H33" i="7" s="1"/>
  <c r="B46" i="7"/>
  <c r="F45" i="7"/>
  <c r="K47" i="7"/>
  <c r="Q46" i="7"/>
  <c r="I33" i="7" l="1"/>
  <c r="D34" i="7" s="1"/>
  <c r="E34" i="7" s="1"/>
  <c r="K48" i="7"/>
  <c r="Q47" i="7"/>
  <c r="B47" i="7"/>
  <c r="F46" i="7"/>
  <c r="G34" i="7" l="1"/>
  <c r="H34" i="7" s="1"/>
  <c r="F47" i="7"/>
  <c r="B48" i="7"/>
  <c r="Q48" i="7"/>
  <c r="K49" i="7"/>
  <c r="I34" i="7" l="1"/>
  <c r="D35" i="7" s="1"/>
  <c r="E35" i="7" s="1"/>
  <c r="K50" i="7"/>
  <c r="Q49" i="7"/>
  <c r="F48" i="7"/>
  <c r="B49" i="7"/>
  <c r="G35" i="7" l="1"/>
  <c r="H35" i="7" s="1"/>
  <c r="F49" i="7"/>
  <c r="B50" i="7"/>
  <c r="K51" i="7"/>
  <c r="Q50" i="7"/>
  <c r="I35" i="7" l="1"/>
  <c r="D36" i="7" s="1"/>
  <c r="E36" i="7" s="1"/>
  <c r="K52" i="7"/>
  <c r="Q51" i="7"/>
  <c r="B51" i="7"/>
  <c r="F50" i="7"/>
  <c r="G36" i="7" l="1"/>
  <c r="H36" i="7" s="1"/>
  <c r="F51" i="7"/>
  <c r="B52" i="7"/>
  <c r="K53" i="7"/>
  <c r="Q52" i="7"/>
  <c r="I36" i="7" l="1"/>
  <c r="D37" i="7" s="1"/>
  <c r="E37" i="7" s="1"/>
  <c r="F52" i="7"/>
  <c r="B53" i="7"/>
  <c r="Q53" i="7"/>
  <c r="K54" i="7"/>
  <c r="G37" i="7" l="1"/>
  <c r="H37" i="7" s="1"/>
  <c r="K55" i="7"/>
  <c r="Q54" i="7"/>
  <c r="B54" i="7"/>
  <c r="F53" i="7"/>
  <c r="I37" i="7" l="1"/>
  <c r="D38" i="7" s="1"/>
  <c r="E38" i="7" s="1"/>
  <c r="B55" i="7"/>
  <c r="F54" i="7"/>
  <c r="K56" i="7"/>
  <c r="Q55" i="7"/>
  <c r="G38" i="7" l="1"/>
  <c r="H38" i="7" s="1"/>
  <c r="F55" i="7"/>
  <c r="B56" i="7"/>
  <c r="Q56" i="7"/>
  <c r="I38" i="7" l="1"/>
  <c r="D39" i="7" s="1"/>
  <c r="E39" i="7" s="1"/>
  <c r="F56" i="7"/>
  <c r="B57" i="7"/>
  <c r="G39" i="7" l="1"/>
  <c r="F57" i="7"/>
  <c r="B58" i="7"/>
  <c r="H39" i="7" l="1"/>
  <c r="I39" i="7" s="1"/>
  <c r="D40" i="7" s="1"/>
  <c r="E40" i="7" s="1"/>
  <c r="B59" i="7"/>
  <c r="F58" i="7"/>
  <c r="G40" i="7" l="1"/>
  <c r="H40" i="7" s="1"/>
  <c r="I40" i="7" s="1"/>
  <c r="D41" i="7" s="1"/>
  <c r="F59" i="7"/>
  <c r="B60" i="7"/>
  <c r="G41" i="7" l="1"/>
  <c r="E41" i="7"/>
  <c r="B61" i="7"/>
  <c r="F60" i="7"/>
  <c r="H41" i="7" l="1"/>
  <c r="I41" i="7" s="1"/>
  <c r="D42" i="7" s="1"/>
  <c r="E42" i="7" s="1"/>
  <c r="F61" i="7"/>
  <c r="B62" i="7"/>
  <c r="G42" i="7" l="1"/>
  <c r="H42" i="7" s="1"/>
  <c r="I42" i="7" s="1"/>
  <c r="D43" i="7" s="1"/>
  <c r="G43" i="7" s="1"/>
  <c r="B63" i="7"/>
  <c r="E43" i="7" l="1"/>
  <c r="H43" i="7" s="1"/>
  <c r="I43" i="7" s="1"/>
  <c r="D44" i="7" s="1"/>
  <c r="E44" i="7" s="1"/>
  <c r="F63" i="7"/>
  <c r="B64" i="7"/>
  <c r="G44" i="7" l="1"/>
  <c r="H44" i="7" s="1"/>
  <c r="I44" i="7" s="1"/>
  <c r="D45" i="7" s="1"/>
  <c r="E45" i="7" s="1"/>
  <c r="B65" i="7"/>
  <c r="F64" i="7"/>
  <c r="G45" i="7" l="1"/>
  <c r="H45" i="7" s="1"/>
  <c r="F65" i="7"/>
  <c r="B66" i="7"/>
  <c r="I45" i="7" l="1"/>
  <c r="D46" i="7" s="1"/>
  <c r="E46" i="7" s="1"/>
  <c r="B67" i="7"/>
  <c r="F66" i="7"/>
  <c r="G46" i="7" l="1"/>
  <c r="F67" i="7"/>
  <c r="B68" i="7"/>
  <c r="H46" i="7" l="1"/>
  <c r="I46" i="7" s="1"/>
  <c r="D47" i="7" s="1"/>
  <c r="B69" i="7"/>
  <c r="F68" i="7"/>
  <c r="G47" i="7" l="1"/>
  <c r="E47" i="7"/>
  <c r="F69" i="7"/>
  <c r="B70" i="7"/>
  <c r="H47" i="7" l="1"/>
  <c r="I47" i="7" s="1"/>
  <c r="D48" i="7" s="1"/>
  <c r="E48" i="7" s="1"/>
  <c r="B71" i="7"/>
  <c r="F70" i="7"/>
  <c r="G48" i="7" l="1"/>
  <c r="H48" i="7" s="1"/>
  <c r="I48" i="7" s="1"/>
  <c r="D49" i="7" s="1"/>
  <c r="F71" i="7"/>
  <c r="B72" i="7"/>
  <c r="G49" i="7" l="1"/>
  <c r="E49" i="7"/>
  <c r="B73" i="7"/>
  <c r="F72" i="7"/>
  <c r="H49" i="7" l="1"/>
  <c r="I49" i="7" s="1"/>
  <c r="D50" i="7" s="1"/>
  <c r="G50" i="7" s="1"/>
  <c r="F73" i="7"/>
  <c r="B74" i="7"/>
  <c r="E50" i="7" l="1"/>
  <c r="H50" i="7"/>
  <c r="I50" i="7" s="1"/>
  <c r="D51" i="7" s="1"/>
  <c r="E51" i="7" s="1"/>
  <c r="B75" i="7"/>
  <c r="F74" i="7"/>
  <c r="G51" i="7" l="1"/>
  <c r="H51" i="7" s="1"/>
  <c r="I51" i="7" s="1"/>
  <c r="D52" i="7" s="1"/>
  <c r="E52" i="7" s="1"/>
  <c r="F75" i="7"/>
  <c r="B76" i="7"/>
  <c r="G52" i="7" l="1"/>
  <c r="H52" i="7" s="1"/>
  <c r="I52" i="7" s="1"/>
  <c r="D53" i="7" s="1"/>
  <c r="G53" i="7" s="1"/>
  <c r="B77" i="7"/>
  <c r="F76" i="7"/>
  <c r="E53" i="7" l="1"/>
  <c r="H53" i="7"/>
  <c r="I53" i="7" s="1"/>
  <c r="D54" i="7" s="1"/>
  <c r="E54" i="7" s="1"/>
  <c r="F77" i="7"/>
  <c r="B78" i="7"/>
  <c r="B79" i="7" l="1"/>
  <c r="F78" i="7"/>
  <c r="G54" i="7"/>
  <c r="H54" i="7" s="1"/>
  <c r="F79" i="7" l="1"/>
  <c r="B80" i="7"/>
  <c r="B81" i="7" l="1"/>
  <c r="F80" i="7"/>
  <c r="I54" i="7"/>
  <c r="D55" i="7" s="1"/>
  <c r="E55" i="7" s="1"/>
  <c r="G55" i="7" l="1"/>
  <c r="H55" i="7" s="1"/>
  <c r="I55" i="7" s="1"/>
  <c r="D56" i="7" s="1"/>
  <c r="E56" i="7" s="1"/>
  <c r="F81" i="7"/>
  <c r="B82" i="7"/>
  <c r="G56" i="7" l="1"/>
  <c r="B83" i="7"/>
  <c r="F82" i="7"/>
  <c r="H56" i="7" l="1"/>
  <c r="I56" i="7" s="1"/>
  <c r="D57" i="7" s="1"/>
  <c r="F83" i="7"/>
  <c r="B84" i="7"/>
  <c r="G57" i="7" l="1"/>
  <c r="E57" i="7"/>
  <c r="B85" i="7"/>
  <c r="F84" i="7"/>
  <c r="H57" i="7" l="1"/>
  <c r="I57" i="7" s="1"/>
  <c r="D58" i="7" s="1"/>
  <c r="G58" i="7" s="1"/>
  <c r="F85" i="7"/>
  <c r="B86" i="7"/>
  <c r="E58" i="7" l="1"/>
  <c r="H58" i="7" s="1"/>
  <c r="I58" i="7" s="1"/>
  <c r="D59" i="7" s="1"/>
  <c r="G59" i="7" s="1"/>
  <c r="B87" i="7"/>
  <c r="E59" i="7" l="1"/>
  <c r="H59" i="7" s="1"/>
  <c r="I59" i="7" s="1"/>
  <c r="D60" i="7" s="1"/>
  <c r="G60" i="7" s="1"/>
  <c r="F87" i="7"/>
  <c r="B88" i="7"/>
  <c r="E60" i="7" l="1"/>
  <c r="H60" i="7" s="1"/>
  <c r="I60" i="7" s="1"/>
  <c r="D61" i="7" s="1"/>
  <c r="G61" i="7" s="1"/>
  <c r="B89" i="7"/>
  <c r="F88" i="7"/>
  <c r="E61" i="7" l="1"/>
  <c r="H61" i="7" s="1"/>
  <c r="I61" i="7" s="1"/>
  <c r="D62" i="7" s="1"/>
  <c r="F89" i="7"/>
  <c r="B90" i="7"/>
  <c r="G62" i="7" l="1"/>
  <c r="E62" i="7"/>
  <c r="B91" i="7"/>
  <c r="F90" i="7"/>
  <c r="H62" i="7" l="1"/>
  <c r="F62" i="7"/>
  <c r="F91" i="7"/>
  <c r="B92" i="7"/>
  <c r="I62" i="7" l="1"/>
  <c r="D63" i="7" s="1"/>
  <c r="G63" i="7" s="1"/>
  <c r="B93" i="7"/>
  <c r="F92" i="7"/>
  <c r="E63" i="7" l="1"/>
  <c r="H63" i="7" s="1"/>
  <c r="I63" i="7" s="1"/>
  <c r="D64" i="7" s="1"/>
  <c r="E64" i="7" s="1"/>
  <c r="F93" i="7"/>
  <c r="B94" i="7"/>
  <c r="G64" i="7" l="1"/>
  <c r="H64" i="7" s="1"/>
  <c r="I64" i="7" s="1"/>
  <c r="D65" i="7" s="1"/>
  <c r="E65" i="7" s="1"/>
  <c r="B95" i="7"/>
  <c r="F94" i="7"/>
  <c r="G65" i="7" l="1"/>
  <c r="H65" i="7" s="1"/>
  <c r="F95" i="7"/>
  <c r="B96" i="7"/>
  <c r="B97" i="7" l="1"/>
  <c r="F96" i="7"/>
  <c r="F97" i="7" l="1"/>
  <c r="B98" i="7"/>
  <c r="I65" i="7"/>
  <c r="D66" i="7" s="1"/>
  <c r="E66" i="7" s="1"/>
  <c r="G66" i="7" l="1"/>
  <c r="H66" i="7" s="1"/>
  <c r="B99" i="7"/>
  <c r="F98" i="7"/>
  <c r="F99" i="7" l="1"/>
  <c r="B100" i="7"/>
  <c r="B101" i="7" l="1"/>
  <c r="F100" i="7"/>
  <c r="I66" i="7"/>
  <c r="D67" i="7" s="1"/>
  <c r="E67" i="7" s="1"/>
  <c r="G67" i="7" l="1"/>
  <c r="F101" i="7"/>
  <c r="B102" i="7"/>
  <c r="H67" i="7" l="1"/>
  <c r="I67" i="7" s="1"/>
  <c r="D68" i="7" s="1"/>
  <c r="B103" i="7"/>
  <c r="F102" i="7"/>
  <c r="G68" i="7" l="1"/>
  <c r="E68" i="7"/>
  <c r="F103" i="7"/>
  <c r="B104" i="7"/>
  <c r="H68" i="7" l="1"/>
  <c r="I68" i="7" s="1"/>
  <c r="D69" i="7" s="1"/>
  <c r="G69" i="7" s="1"/>
  <c r="B105" i="7"/>
  <c r="F104" i="7"/>
  <c r="E69" i="7" l="1"/>
  <c r="H69" i="7" s="1"/>
  <c r="I69" i="7" s="1"/>
  <c r="D70" i="7" s="1"/>
  <c r="G70" i="7" s="1"/>
  <c r="F105" i="7"/>
  <c r="B106" i="7"/>
  <c r="E70" i="7" l="1"/>
  <c r="H70" i="7" s="1"/>
  <c r="I70" i="7" s="1"/>
  <c r="D71" i="7" s="1"/>
  <c r="G71" i="7" s="1"/>
  <c r="B107" i="7"/>
  <c r="F106" i="7"/>
  <c r="E71" i="7" l="1"/>
  <c r="H71" i="7" s="1"/>
  <c r="I71" i="7" s="1"/>
  <c r="D72" i="7" s="1"/>
  <c r="G72" i="7" s="1"/>
  <c r="F107" i="7"/>
  <c r="B108" i="7"/>
  <c r="E72" i="7" l="1"/>
  <c r="H72" i="7" s="1"/>
  <c r="I72" i="7" s="1"/>
  <c r="D73" i="7" s="1"/>
  <c r="E73" i="7" s="1"/>
  <c r="B109" i="7"/>
  <c r="F108" i="7"/>
  <c r="G73" i="7" l="1"/>
  <c r="H73" i="7" s="1"/>
  <c r="I73" i="7" s="1"/>
  <c r="D74" i="7" s="1"/>
  <c r="G74" i="7" s="1"/>
  <c r="F109" i="7"/>
  <c r="B110" i="7"/>
  <c r="E74" i="7" l="1"/>
  <c r="H74" i="7" s="1"/>
  <c r="I74" i="7" s="1"/>
  <c r="D75" i="7" s="1"/>
  <c r="G75" i="7" s="1"/>
  <c r="B111" i="7"/>
  <c r="F110" i="7"/>
  <c r="E75" i="7" l="1"/>
  <c r="H75" i="7" s="1"/>
  <c r="I75" i="7" s="1"/>
  <c r="D76" i="7" s="1"/>
  <c r="E76" i="7" s="1"/>
  <c r="F111" i="7"/>
  <c r="B112" i="7"/>
  <c r="B113" i="7" l="1"/>
  <c r="F112" i="7"/>
  <c r="G76" i="7"/>
  <c r="H76" i="7" s="1"/>
  <c r="F113" i="7" l="1"/>
  <c r="B114" i="7"/>
  <c r="B115" i="7" l="1"/>
  <c r="F114" i="7"/>
  <c r="I76" i="7"/>
  <c r="D77" i="7" s="1"/>
  <c r="E77" i="7" s="1"/>
  <c r="G77" i="7" l="1"/>
  <c r="H77" i="7" s="1"/>
  <c r="F115" i="7"/>
  <c r="B116" i="7"/>
  <c r="B117" i="7" l="1"/>
  <c r="F116" i="7"/>
  <c r="I77" i="7" l="1"/>
  <c r="D78" i="7" s="1"/>
  <c r="E78" i="7" s="1"/>
  <c r="F117" i="7"/>
  <c r="B118" i="7"/>
  <c r="B119" i="7" l="1"/>
  <c r="F118" i="7"/>
  <c r="G78" i="7"/>
  <c r="H78" i="7" s="1"/>
  <c r="F119" i="7" l="1"/>
  <c r="B120" i="7"/>
  <c r="B121" i="7" l="1"/>
  <c r="F120" i="7"/>
  <c r="I78" i="7"/>
  <c r="D79" i="7" s="1"/>
  <c r="E79" i="7" s="1"/>
  <c r="G79" i="7" l="1"/>
  <c r="H79" i="7" s="1"/>
  <c r="I79" i="7" s="1"/>
  <c r="D80" i="7" s="1"/>
  <c r="E80" i="7" s="1"/>
  <c r="F121" i="7"/>
  <c r="B122" i="7"/>
  <c r="G80" i="7" l="1"/>
  <c r="B123" i="7"/>
  <c r="F122" i="7"/>
  <c r="H80" i="7" l="1"/>
  <c r="I80" i="7" s="1"/>
  <c r="D81" i="7" s="1"/>
  <c r="E81" i="7" s="1"/>
  <c r="F123" i="7"/>
  <c r="B124" i="7"/>
  <c r="G81" i="7" l="1"/>
  <c r="H81" i="7" s="1"/>
  <c r="I81" i="7" s="1"/>
  <c r="D82" i="7" s="1"/>
  <c r="B125" i="7"/>
  <c r="F124" i="7"/>
  <c r="G82" i="7" l="1"/>
  <c r="E82" i="7"/>
  <c r="F125" i="7"/>
  <c r="B126" i="7"/>
  <c r="H82" i="7" l="1"/>
  <c r="I82" i="7" s="1"/>
  <c r="D83" i="7" s="1"/>
  <c r="G83" i="7" s="1"/>
  <c r="B127" i="7"/>
  <c r="F126" i="7"/>
  <c r="E83" i="7" l="1"/>
  <c r="H83" i="7" s="1"/>
  <c r="I83" i="7" s="1"/>
  <c r="D84" i="7" s="1"/>
  <c r="G84" i="7" s="1"/>
  <c r="F127" i="7"/>
  <c r="B128" i="7"/>
  <c r="E84" i="7" l="1"/>
  <c r="H84" i="7" s="1"/>
  <c r="I84" i="7" s="1"/>
  <c r="D85" i="7" s="1"/>
  <c r="G85" i="7" s="1"/>
  <c r="B129" i="7"/>
  <c r="F128" i="7"/>
  <c r="E85" i="7" l="1"/>
  <c r="H85" i="7" s="1"/>
  <c r="I85" i="7" s="1"/>
  <c r="D86" i="7" s="1"/>
  <c r="G86" i="7" s="1"/>
  <c r="F129" i="7"/>
  <c r="B130" i="7"/>
  <c r="E86" i="7" l="1"/>
  <c r="H86" i="7" s="1"/>
  <c r="B131" i="7"/>
  <c r="F130" i="7"/>
  <c r="F86" i="7" l="1"/>
  <c r="I86" i="7" s="1"/>
  <c r="D87" i="7" s="1"/>
  <c r="G87" i="7" s="1"/>
  <c r="F131" i="7"/>
  <c r="B132" i="7"/>
  <c r="E87" i="7" l="1"/>
  <c r="H87" i="7" s="1"/>
  <c r="I87" i="7" s="1"/>
  <c r="D88" i="7" s="1"/>
  <c r="E88" i="7" s="1"/>
  <c r="B133" i="7"/>
  <c r="F132" i="7"/>
  <c r="G88" i="7" l="1"/>
  <c r="H88" i="7" s="1"/>
  <c r="F133" i="7"/>
  <c r="B134" i="7"/>
  <c r="F134" i="7" l="1"/>
  <c r="B135" i="7"/>
  <c r="I88" i="7"/>
  <c r="D89" i="7" s="1"/>
  <c r="E89" i="7" s="1"/>
  <c r="G89" i="7" l="1"/>
  <c r="H89" i="7" s="1"/>
  <c r="B136" i="7"/>
  <c r="F135" i="7"/>
  <c r="F136" i="7" l="1"/>
  <c r="B137" i="7"/>
  <c r="B138" i="7" l="1"/>
  <c r="F137" i="7"/>
  <c r="I89" i="7"/>
  <c r="D90" i="7" s="1"/>
  <c r="E90" i="7" s="1"/>
  <c r="G90" i="7" l="1"/>
  <c r="H90" i="7" s="1"/>
  <c r="F138" i="7"/>
  <c r="B139" i="7"/>
  <c r="B140" i="7" l="1"/>
  <c r="F139" i="7"/>
  <c r="I90" i="7" l="1"/>
  <c r="D91" i="7" s="1"/>
  <c r="E91" i="7" s="1"/>
  <c r="F140" i="7"/>
  <c r="B141" i="7"/>
  <c r="B142" i="7" l="1"/>
  <c r="F141" i="7"/>
  <c r="G91" i="7"/>
  <c r="H91" i="7" l="1"/>
  <c r="I91" i="7" s="1"/>
  <c r="D92" i="7" s="1"/>
  <c r="F142" i="7"/>
  <c r="B143" i="7"/>
  <c r="G92" i="7" l="1"/>
  <c r="E92" i="7"/>
  <c r="B144" i="7"/>
  <c r="F143" i="7"/>
  <c r="H92" i="7" l="1"/>
  <c r="I92" i="7" s="1"/>
  <c r="D93" i="7" s="1"/>
  <c r="G93" i="7" s="1"/>
  <c r="F144" i="7"/>
  <c r="B145" i="7"/>
  <c r="E93" i="7" l="1"/>
  <c r="H93" i="7" s="1"/>
  <c r="I93" i="7" s="1"/>
  <c r="D94" i="7" s="1"/>
  <c r="G94" i="7" s="1"/>
  <c r="F145" i="7"/>
  <c r="B146" i="7"/>
  <c r="E94" i="7" l="1"/>
  <c r="H94" i="7" s="1"/>
  <c r="I94" i="7" s="1"/>
  <c r="D95" i="7" s="1"/>
  <c r="G95" i="7" s="1"/>
  <c r="B147" i="7"/>
  <c r="E147" i="7" s="1"/>
  <c r="E95" i="7" l="1"/>
  <c r="H95" i="7" s="1"/>
  <c r="I95" i="7" s="1"/>
  <c r="D96" i="7" s="1"/>
  <c r="G96" i="7" s="1"/>
  <c r="F147" i="7"/>
  <c r="B148" i="7"/>
  <c r="E148" i="7" s="1"/>
  <c r="E96" i="7" l="1"/>
  <c r="H96" i="7" s="1"/>
  <c r="I96" i="7" s="1"/>
  <c r="D97" i="7" s="1"/>
  <c r="G97" i="7" s="1"/>
  <c r="F148" i="7"/>
  <c r="B149" i="7"/>
  <c r="E149" i="7" s="1"/>
  <c r="E97" i="7" l="1"/>
  <c r="H97" i="7" s="1"/>
  <c r="I97" i="7" s="1"/>
  <c r="D98" i="7" s="1"/>
  <c r="G98" i="7" s="1"/>
  <c r="F149" i="7"/>
  <c r="B150" i="7"/>
  <c r="E150" i="7" s="1"/>
  <c r="E98" i="7" l="1"/>
  <c r="H98" i="7" s="1"/>
  <c r="I98" i="7" s="1"/>
  <c r="D99" i="7" s="1"/>
  <c r="G99" i="7" s="1"/>
  <c r="F150" i="7"/>
  <c r="B151" i="7"/>
  <c r="E151" i="7" s="1"/>
  <c r="E99" i="7" l="1"/>
  <c r="H99" i="7" s="1"/>
  <c r="I99" i="7" s="1"/>
  <c r="D100" i="7" s="1"/>
  <c r="E100" i="7" s="1"/>
  <c r="B152" i="7"/>
  <c r="E152" i="7" s="1"/>
  <c r="F151" i="7"/>
  <c r="F152" i="7" l="1"/>
  <c r="B153" i="7"/>
  <c r="E153" i="7" s="1"/>
  <c r="G100" i="7"/>
  <c r="H100" i="7" s="1"/>
  <c r="B154" i="7" l="1"/>
  <c r="E154" i="7" s="1"/>
  <c r="F153" i="7"/>
  <c r="F154" i="7" l="1"/>
  <c r="B155" i="7"/>
  <c r="E155" i="7" s="1"/>
  <c r="I100" i="7"/>
  <c r="D101" i="7" s="1"/>
  <c r="E101" i="7" s="1"/>
  <c r="G101" i="7" l="1"/>
  <c r="H101" i="7" s="1"/>
  <c r="B156" i="7"/>
  <c r="E156" i="7" s="1"/>
  <c r="F155" i="7"/>
  <c r="F156" i="7" l="1"/>
  <c r="B157" i="7"/>
  <c r="E157" i="7" s="1"/>
  <c r="I101" i="7" l="1"/>
  <c r="D102" i="7" s="1"/>
  <c r="E102" i="7" s="1"/>
  <c r="B158" i="7"/>
  <c r="E158" i="7" s="1"/>
  <c r="F157" i="7"/>
  <c r="F158" i="7" l="1"/>
  <c r="B159" i="7"/>
  <c r="E159" i="7" s="1"/>
  <c r="G102" i="7"/>
  <c r="H102" i="7" s="1"/>
  <c r="F159" i="7" l="1"/>
  <c r="B160" i="7"/>
  <c r="E160" i="7" s="1"/>
  <c r="F160" i="7" l="1"/>
  <c r="B161" i="7"/>
  <c r="E161" i="7" s="1"/>
  <c r="I102" i="7"/>
  <c r="D103" i="7" s="1"/>
  <c r="E103" i="7" s="1"/>
  <c r="F161" i="7" l="1"/>
  <c r="B162" i="7"/>
  <c r="E162" i="7" s="1"/>
  <c r="G103" i="7"/>
  <c r="H103" i="7" l="1"/>
  <c r="I103" i="7" s="1"/>
  <c r="D104" i="7" s="1"/>
  <c r="F162" i="7"/>
  <c r="B163" i="7"/>
  <c r="E163" i="7" s="1"/>
  <c r="G104" i="7" l="1"/>
  <c r="E104" i="7"/>
  <c r="B164" i="7"/>
  <c r="E164" i="7" s="1"/>
  <c r="F163" i="7"/>
  <c r="H104" i="7" l="1"/>
  <c r="I104" i="7" s="1"/>
  <c r="D105" i="7" s="1"/>
  <c r="G105" i="7" s="1"/>
  <c r="F164" i="7"/>
  <c r="B165" i="7"/>
  <c r="E165" i="7" s="1"/>
  <c r="E105" i="7" l="1"/>
  <c r="H105" i="7" s="1"/>
  <c r="I105" i="7" s="1"/>
  <c r="D106" i="7" s="1"/>
  <c r="G106" i="7" s="1"/>
  <c r="B166" i="7"/>
  <c r="E166" i="7" s="1"/>
  <c r="F165" i="7"/>
  <c r="E106" i="7" l="1"/>
  <c r="H106" i="7" s="1"/>
  <c r="I106" i="7" s="1"/>
  <c r="D107" i="7" s="1"/>
  <c r="E107" i="7" s="1"/>
  <c r="F166" i="7"/>
  <c r="B167" i="7"/>
  <c r="E167" i="7" s="1"/>
  <c r="G107" i="7" l="1"/>
  <c r="H107" i="7" s="1"/>
  <c r="I107" i="7" s="1"/>
  <c r="D108" i="7" s="1"/>
  <c r="G108" i="7" s="1"/>
  <c r="F167" i="7"/>
  <c r="B168" i="7"/>
  <c r="E168" i="7" s="1"/>
  <c r="E108" i="7" l="1"/>
  <c r="H108" i="7" s="1"/>
  <c r="I108" i="7" s="1"/>
  <c r="D109" i="7" s="1"/>
  <c r="E109" i="7" s="1"/>
  <c r="F168" i="7"/>
  <c r="B169" i="7"/>
  <c r="E169" i="7" s="1"/>
  <c r="G109" i="7" l="1"/>
  <c r="H109" i="7" s="1"/>
  <c r="I109" i="7" s="1"/>
  <c r="D110" i="7" s="1"/>
  <c r="G110" i="7" s="1"/>
  <c r="B170" i="7"/>
  <c r="E170" i="7" s="1"/>
  <c r="F169" i="7"/>
  <c r="E110" i="7" l="1"/>
  <c r="H110" i="7" s="1"/>
  <c r="I110" i="7" s="1"/>
  <c r="D111" i="7" s="1"/>
  <c r="G111" i="7" s="1"/>
  <c r="F170" i="7"/>
  <c r="B171" i="7"/>
  <c r="E171" i="7" s="1"/>
  <c r="E111" i="7" l="1"/>
  <c r="H111" i="7" s="1"/>
  <c r="I111" i="7" s="1"/>
  <c r="D112" i="7" s="1"/>
  <c r="E112" i="7" s="1"/>
  <c r="B172" i="7"/>
  <c r="E172" i="7" s="1"/>
  <c r="F171" i="7"/>
  <c r="F172" i="7" l="1"/>
  <c r="B173" i="7"/>
  <c r="E173" i="7" s="1"/>
  <c r="G112" i="7"/>
  <c r="H112" i="7" s="1"/>
  <c r="B174" i="7" l="1"/>
  <c r="E174" i="7" s="1"/>
  <c r="F173" i="7"/>
  <c r="F174" i="7" l="1"/>
  <c r="B175" i="7"/>
  <c r="E175" i="7" s="1"/>
  <c r="I112" i="7"/>
  <c r="D113" i="7" s="1"/>
  <c r="E113" i="7" s="1"/>
  <c r="B176" i="7" l="1"/>
  <c r="E176" i="7" s="1"/>
  <c r="F175" i="7"/>
  <c r="G113" i="7"/>
  <c r="H113" i="7" s="1"/>
  <c r="F176" i="7" l="1"/>
  <c r="B177" i="7"/>
  <c r="E177" i="7" s="1"/>
  <c r="I113" i="7" l="1"/>
  <c r="D114" i="7" s="1"/>
  <c r="E114" i="7" s="1"/>
  <c r="B178" i="7"/>
  <c r="E178" i="7" s="1"/>
  <c r="F177" i="7"/>
  <c r="F178" i="7" l="1"/>
  <c r="B179" i="7"/>
  <c r="E179" i="7" s="1"/>
  <c r="G114" i="7"/>
  <c r="H114" i="7" s="1"/>
  <c r="F179" i="7" l="1"/>
  <c r="B180" i="7"/>
  <c r="E180" i="7" s="1"/>
  <c r="F180" i="7" l="1"/>
  <c r="B181" i="7"/>
  <c r="E181" i="7" s="1"/>
  <c r="I114" i="7"/>
  <c r="D115" i="7" s="1"/>
  <c r="E115" i="7" s="1"/>
  <c r="F181" i="7" l="1"/>
  <c r="B182" i="7"/>
  <c r="E182" i="7" s="1"/>
  <c r="G115" i="7"/>
  <c r="H115" i="7" l="1"/>
  <c r="I115" i="7" s="1"/>
  <c r="D116" i="7" s="1"/>
  <c r="F182" i="7"/>
  <c r="B183" i="7"/>
  <c r="E183" i="7" s="1"/>
  <c r="G116" i="7" l="1"/>
  <c r="E116" i="7"/>
  <c r="B184" i="7"/>
  <c r="E184" i="7" s="1"/>
  <c r="F183" i="7"/>
  <c r="H116" i="7" l="1"/>
  <c r="I116" i="7" s="1"/>
  <c r="D117" i="7" s="1"/>
  <c r="E117" i="7" s="1"/>
  <c r="F184" i="7"/>
  <c r="B185" i="7"/>
  <c r="E185" i="7" s="1"/>
  <c r="G117" i="7" l="1"/>
  <c r="H117" i="7" s="1"/>
  <c r="I117" i="7" s="1"/>
  <c r="D118" i="7" s="1"/>
  <c r="G118" i="7" s="1"/>
  <c r="B186" i="7"/>
  <c r="E186" i="7" s="1"/>
  <c r="F185" i="7"/>
  <c r="E118" i="7" l="1"/>
  <c r="H118" i="7" s="1"/>
  <c r="I118" i="7" s="1"/>
  <c r="D119" i="7" s="1"/>
  <c r="E119" i="7" s="1"/>
  <c r="F186" i="7"/>
  <c r="B187" i="7"/>
  <c r="E187" i="7" s="1"/>
  <c r="G119" i="7" l="1"/>
  <c r="H119" i="7" s="1"/>
  <c r="I119" i="7" s="1"/>
  <c r="D120" i="7" s="1"/>
  <c r="G120" i="7" s="1"/>
  <c r="B188" i="7"/>
  <c r="E188" i="7" s="1"/>
  <c r="F187" i="7"/>
  <c r="E120" i="7" l="1"/>
  <c r="H120" i="7" s="1"/>
  <c r="I120" i="7" s="1"/>
  <c r="D121" i="7" s="1"/>
  <c r="G121" i="7" s="1"/>
  <c r="F188" i="7"/>
  <c r="B189" i="7"/>
  <c r="E189" i="7" s="1"/>
  <c r="E121" i="7" l="1"/>
  <c r="H121" i="7" s="1"/>
  <c r="I121" i="7" s="1"/>
  <c r="D122" i="7" s="1"/>
  <c r="G122" i="7" s="1"/>
  <c r="B190" i="7"/>
  <c r="E190" i="7" s="1"/>
  <c r="F189" i="7"/>
  <c r="E122" i="7" l="1"/>
  <c r="H122" i="7" s="1"/>
  <c r="I122" i="7" s="1"/>
  <c r="D123" i="7" s="1"/>
  <c r="G123" i="7" s="1"/>
  <c r="F190" i="7"/>
  <c r="B191" i="7"/>
  <c r="E191" i="7" s="1"/>
  <c r="E123" i="7" l="1"/>
  <c r="H123" i="7" s="1"/>
  <c r="I123" i="7" s="1"/>
  <c r="D124" i="7" s="1"/>
  <c r="E124" i="7" s="1"/>
  <c r="F191" i="7"/>
  <c r="B192" i="7"/>
  <c r="E192" i="7" s="1"/>
  <c r="F192" i="7" l="1"/>
  <c r="B193" i="7"/>
  <c r="E193" i="7" s="1"/>
  <c r="G124" i="7"/>
  <c r="H124" i="7" s="1"/>
  <c r="F193" i="7" l="1"/>
  <c r="B194" i="7"/>
  <c r="E194" i="7" s="1"/>
  <c r="F194" i="7" l="1"/>
  <c r="B195" i="7"/>
  <c r="E195" i="7" s="1"/>
  <c r="I124" i="7"/>
  <c r="D125" i="7" s="1"/>
  <c r="E125" i="7" s="1"/>
  <c r="B196" i="7" l="1"/>
  <c r="E196" i="7" s="1"/>
  <c r="F195" i="7"/>
  <c r="G125" i="7"/>
  <c r="H125" i="7" s="1"/>
  <c r="F196" i="7" l="1"/>
  <c r="B197" i="7"/>
  <c r="E197" i="7" s="1"/>
  <c r="I125" i="7" l="1"/>
  <c r="D126" i="7" s="1"/>
  <c r="E126" i="7" s="1"/>
  <c r="B198" i="7"/>
  <c r="E198" i="7" s="1"/>
  <c r="F197" i="7"/>
  <c r="F198" i="7" l="1"/>
  <c r="B199" i="7"/>
  <c r="E199" i="7" s="1"/>
  <c r="G126" i="7"/>
  <c r="H126" i="7" s="1"/>
  <c r="F199" i="7" l="1"/>
  <c r="B200" i="7"/>
  <c r="E200" i="7" s="1"/>
  <c r="F200" i="7" l="1"/>
  <c r="B201" i="7"/>
  <c r="E201" i="7" s="1"/>
  <c r="I126" i="7"/>
  <c r="D127" i="7" s="1"/>
  <c r="E127" i="7" s="1"/>
  <c r="G127" i="7" l="1"/>
  <c r="H127" i="7" s="1"/>
  <c r="I127" i="7" s="1"/>
  <c r="D128" i="7" s="1"/>
  <c r="E128" i="7" s="1"/>
  <c r="B202" i="7"/>
  <c r="E202" i="7" s="1"/>
  <c r="F201" i="7"/>
  <c r="G128" i="7" l="1"/>
  <c r="F202" i="7"/>
  <c r="B203" i="7"/>
  <c r="E203" i="7" s="1"/>
  <c r="H128" i="7" l="1"/>
  <c r="I128" i="7" s="1"/>
  <c r="D129" i="7" s="1"/>
  <c r="B204" i="7"/>
  <c r="E204" i="7" s="1"/>
  <c r="F203" i="7"/>
  <c r="G129" i="7" l="1"/>
  <c r="E129" i="7"/>
  <c r="F204" i="7"/>
  <c r="B205" i="7"/>
  <c r="E205" i="7" s="1"/>
  <c r="H129" i="7" l="1"/>
  <c r="I129" i="7" s="1"/>
  <c r="D130" i="7" s="1"/>
  <c r="G130" i="7" s="1"/>
  <c r="B206" i="7"/>
  <c r="E206" i="7" s="1"/>
  <c r="F205" i="7"/>
  <c r="E130" i="7" l="1"/>
  <c r="H130" i="7" s="1"/>
  <c r="I130" i="7" s="1"/>
  <c r="D131" i="7" s="1"/>
  <c r="G131" i="7" s="1"/>
  <c r="F206" i="7"/>
  <c r="B207" i="7"/>
  <c r="E207" i="7" s="1"/>
  <c r="E131" i="7" l="1"/>
  <c r="H131" i="7" s="1"/>
  <c r="I131" i="7" s="1"/>
  <c r="D132" i="7" s="1"/>
  <c r="G132" i="7" s="1"/>
  <c r="B208" i="7"/>
  <c r="E208" i="7" s="1"/>
  <c r="F207" i="7"/>
  <c r="E132" i="7" l="1"/>
  <c r="H132" i="7" s="1"/>
  <c r="I132" i="7" s="1"/>
  <c r="D133" i="7" s="1"/>
  <c r="E133" i="7" s="1"/>
  <c r="F208" i="7"/>
  <c r="B209" i="7"/>
  <c r="E209" i="7" s="1"/>
  <c r="G133" i="7" l="1"/>
  <c r="H133" i="7" s="1"/>
  <c r="I133" i="7" s="1"/>
  <c r="D134" i="7" s="1"/>
  <c r="G134" i="7" s="1"/>
  <c r="B210" i="7"/>
  <c r="E210" i="7" s="1"/>
  <c r="F209" i="7"/>
  <c r="E134" i="7" l="1"/>
  <c r="H134" i="7" s="1"/>
  <c r="I134" i="7" s="1"/>
  <c r="D135" i="7" s="1"/>
  <c r="G135" i="7" s="1"/>
  <c r="F210" i="7"/>
  <c r="B211" i="7"/>
  <c r="E211" i="7" s="1"/>
  <c r="E135" i="7" l="1"/>
  <c r="H135" i="7" s="1"/>
  <c r="I135" i="7" s="1"/>
  <c r="D136" i="7" s="1"/>
  <c r="E136" i="7" s="1"/>
  <c r="F211" i="7"/>
  <c r="B212" i="7"/>
  <c r="E212" i="7" s="1"/>
  <c r="F212" i="7" l="1"/>
  <c r="B213" i="7"/>
  <c r="E213" i="7" s="1"/>
  <c r="G136" i="7"/>
  <c r="H136" i="7" s="1"/>
  <c r="F213" i="7" l="1"/>
  <c r="B214" i="7"/>
  <c r="E214" i="7" s="1"/>
  <c r="I136" i="7" l="1"/>
  <c r="D137" i="7" s="1"/>
  <c r="E137" i="7" s="1"/>
  <c r="F214" i="7"/>
  <c r="B215" i="7"/>
  <c r="E215" i="7" s="1"/>
  <c r="B216" i="7" l="1"/>
  <c r="E216" i="7" s="1"/>
  <c r="F215" i="7"/>
  <c r="G137" i="7"/>
  <c r="H137" i="7" s="1"/>
  <c r="F216" i="7" l="1"/>
  <c r="B217" i="7"/>
  <c r="E217" i="7" s="1"/>
  <c r="B218" i="7" l="1"/>
  <c r="E218" i="7" s="1"/>
  <c r="F217" i="7"/>
  <c r="I137" i="7"/>
  <c r="D138" i="7" s="1"/>
  <c r="E138" i="7" s="1"/>
  <c r="G138" i="7" l="1"/>
  <c r="H138" i="7" s="1"/>
  <c r="B219" i="7"/>
  <c r="E219" i="7" s="1"/>
  <c r="F218" i="7"/>
  <c r="B220" i="7" l="1"/>
  <c r="E220" i="7" s="1"/>
  <c r="F219" i="7"/>
  <c r="I138" i="7" l="1"/>
  <c r="D139" i="7" s="1"/>
  <c r="E139" i="7" s="1"/>
  <c r="F220" i="7"/>
  <c r="B221" i="7"/>
  <c r="E221" i="7" s="1"/>
  <c r="B222" i="7" l="1"/>
  <c r="E222" i="7" s="1"/>
  <c r="F221" i="7"/>
  <c r="G139" i="7"/>
  <c r="H139" i="7" l="1"/>
  <c r="I139" i="7" s="1"/>
  <c r="D140" i="7" s="1"/>
  <c r="E140" i="7" s="1"/>
  <c r="B223" i="7"/>
  <c r="E223" i="7" s="1"/>
  <c r="F222" i="7"/>
  <c r="G140" i="7" l="1"/>
  <c r="H140" i="7" s="1"/>
  <c r="I140" i="7" s="1"/>
  <c r="D141" i="7" s="1"/>
  <c r="B224" i="7"/>
  <c r="E224" i="7" s="1"/>
  <c r="F223" i="7"/>
  <c r="G141" i="7" l="1"/>
  <c r="E141" i="7"/>
  <c r="F224" i="7"/>
  <c r="B225" i="7"/>
  <c r="E225" i="7" s="1"/>
  <c r="H141" i="7" l="1"/>
  <c r="I141" i="7" s="1"/>
  <c r="D142" i="7" s="1"/>
  <c r="G142" i="7" s="1"/>
  <c r="B226" i="7"/>
  <c r="E226" i="7" s="1"/>
  <c r="F225" i="7"/>
  <c r="E142" i="7" l="1"/>
  <c r="H142" i="7" s="1"/>
  <c r="I142" i="7" s="1"/>
  <c r="D143" i="7" s="1"/>
  <c r="G143" i="7" s="1"/>
  <c r="B227" i="7"/>
  <c r="E227" i="7" s="1"/>
  <c r="F226" i="7"/>
  <c r="E143" i="7" l="1"/>
  <c r="H143" i="7" s="1"/>
  <c r="I143" i="7" s="1"/>
  <c r="D144" i="7" s="1"/>
  <c r="E144" i="7" s="1"/>
  <c r="B228" i="7"/>
  <c r="E228" i="7" s="1"/>
  <c r="F227" i="7"/>
  <c r="G144" i="7" l="1"/>
  <c r="H144" i="7" s="1"/>
  <c r="I144" i="7" s="1"/>
  <c r="D145" i="7" s="1"/>
  <c r="G145" i="7" s="1"/>
  <c r="F228" i="7"/>
  <c r="B229" i="7"/>
  <c r="E229" i="7" s="1"/>
  <c r="E145" i="7" l="1"/>
  <c r="H145" i="7" s="1"/>
  <c r="I145" i="7" s="1"/>
  <c r="D146" i="7" s="1"/>
  <c r="E146" i="7" s="1"/>
  <c r="B230" i="7"/>
  <c r="E230" i="7" s="1"/>
  <c r="F229" i="7"/>
  <c r="G146" i="7" l="1"/>
  <c r="H146" i="7" s="1"/>
  <c r="F230" i="7"/>
  <c r="B231" i="7"/>
  <c r="E231" i="7" s="1"/>
  <c r="F146" i="7" l="1"/>
  <c r="I146" i="7" s="1"/>
  <c r="D147" i="7" s="1"/>
  <c r="B232" i="7"/>
  <c r="E232" i="7" s="1"/>
  <c r="F231" i="7"/>
  <c r="G147" i="7" l="1"/>
  <c r="H147" i="7" s="1"/>
  <c r="I147" i="7" s="1"/>
  <c r="D148" i="7" s="1"/>
  <c r="G148" i="7" s="1"/>
  <c r="H148" i="7" s="1"/>
  <c r="B233" i="7"/>
  <c r="E233" i="7" s="1"/>
  <c r="F232" i="7"/>
  <c r="B234" i="7" l="1"/>
  <c r="E234" i="7" s="1"/>
  <c r="F233" i="7"/>
  <c r="B235" i="7" l="1"/>
  <c r="E235" i="7" s="1"/>
  <c r="F234" i="7"/>
  <c r="I148" i="7"/>
  <c r="D149" i="7" s="1"/>
  <c r="G149" i="7" l="1"/>
  <c r="H149" i="7" s="1"/>
  <c r="B236" i="7"/>
  <c r="E236" i="7" s="1"/>
  <c r="F235" i="7"/>
  <c r="F236" i="7" l="1"/>
  <c r="B237" i="7"/>
  <c r="E237" i="7" s="1"/>
  <c r="B238" i="7" l="1"/>
  <c r="E238" i="7" s="1"/>
  <c r="F237" i="7"/>
  <c r="I149" i="7"/>
  <c r="D150" i="7" s="1"/>
  <c r="G150" i="7" l="1"/>
  <c r="H150" i="7" s="1"/>
  <c r="F238" i="7"/>
  <c r="B239" i="7"/>
  <c r="E239" i="7" s="1"/>
  <c r="B240" i="7" l="1"/>
  <c r="E240" i="7" s="1"/>
  <c r="F239" i="7"/>
  <c r="I150" i="7" l="1"/>
  <c r="D151" i="7" s="1"/>
  <c r="B241" i="7"/>
  <c r="E241" i="7" s="1"/>
  <c r="F240" i="7"/>
  <c r="B242" i="7" l="1"/>
  <c r="E242" i="7" s="1"/>
  <c r="F241" i="7"/>
  <c r="G151" i="7"/>
  <c r="H151" i="7" l="1"/>
  <c r="I151" i="7" s="1"/>
  <c r="D152" i="7" s="1"/>
  <c r="B243" i="7"/>
  <c r="E243" i="7" s="1"/>
  <c r="F242" i="7"/>
  <c r="G152" i="7" l="1"/>
  <c r="H152" i="7" s="1"/>
  <c r="I152" i="7" s="1"/>
  <c r="D153" i="7" s="1"/>
  <c r="G153" i="7" s="1"/>
  <c r="B244" i="7"/>
  <c r="E244" i="7" s="1"/>
  <c r="F243" i="7"/>
  <c r="H153" i="7" l="1"/>
  <c r="I153" i="7" s="1"/>
  <c r="D154" i="7" s="1"/>
  <c r="G154" i="7" s="1"/>
  <c r="F244" i="7"/>
  <c r="B245" i="7"/>
  <c r="E245" i="7" s="1"/>
  <c r="H154" i="7" l="1"/>
  <c r="I154" i="7" s="1"/>
  <c r="D155" i="7" s="1"/>
  <c r="B246" i="7"/>
  <c r="E246" i="7" s="1"/>
  <c r="F245" i="7"/>
  <c r="G155" i="7" l="1"/>
  <c r="H155" i="7" s="1"/>
  <c r="I155" i="7" s="1"/>
  <c r="D156" i="7" s="1"/>
  <c r="G156" i="7" s="1"/>
  <c r="B247" i="7"/>
  <c r="E247" i="7" s="1"/>
  <c r="F246" i="7"/>
  <c r="H156" i="7" l="1"/>
  <c r="I156" i="7" s="1"/>
  <c r="D157" i="7" s="1"/>
  <c r="B248" i="7"/>
  <c r="E248" i="7" s="1"/>
  <c r="F247" i="7"/>
  <c r="G157" i="7" l="1"/>
  <c r="H157" i="7" s="1"/>
  <c r="I157" i="7" s="1"/>
  <c r="D158" i="7" s="1"/>
  <c r="G158" i="7" s="1"/>
  <c r="B249" i="7"/>
  <c r="E249" i="7" s="1"/>
  <c r="F248" i="7"/>
  <c r="H158" i="7" l="1"/>
  <c r="I158" i="7" s="1"/>
  <c r="D159" i="7" s="1"/>
  <c r="G159" i="7" s="1"/>
  <c r="H159" i="7" s="1"/>
  <c r="B250" i="7"/>
  <c r="E250" i="7" s="1"/>
  <c r="F249" i="7"/>
  <c r="B251" i="7" l="1"/>
  <c r="E251" i="7" s="1"/>
  <c r="F250" i="7"/>
  <c r="B252" i="7" l="1"/>
  <c r="E252" i="7" s="1"/>
  <c r="F251" i="7"/>
  <c r="I159" i="7"/>
  <c r="D160" i="7" s="1"/>
  <c r="G160" i="7" l="1"/>
  <c r="H160" i="7" s="1"/>
  <c r="F252" i="7"/>
  <c r="B253" i="7"/>
  <c r="E253" i="7" s="1"/>
  <c r="B254" i="7" l="1"/>
  <c r="E254" i="7" s="1"/>
  <c r="F253" i="7"/>
  <c r="I160" i="7" l="1"/>
  <c r="D161" i="7" s="1"/>
  <c r="F254" i="7"/>
  <c r="B255" i="7"/>
  <c r="E255" i="7" s="1"/>
  <c r="B256" i="7" l="1"/>
  <c r="E256" i="7" s="1"/>
  <c r="F255" i="7"/>
  <c r="G161" i="7"/>
  <c r="H161" i="7" s="1"/>
  <c r="B257" i="7" l="1"/>
  <c r="E257" i="7" s="1"/>
  <c r="F256" i="7"/>
  <c r="B258" i="7" l="1"/>
  <c r="E258" i="7" s="1"/>
  <c r="F257" i="7"/>
  <c r="I161" i="7"/>
  <c r="D162" i="7" s="1"/>
  <c r="G162" i="7" l="1"/>
  <c r="H162" i="7" s="1"/>
  <c r="B259" i="7"/>
  <c r="E259" i="7" s="1"/>
  <c r="F258" i="7"/>
  <c r="B260" i="7" l="1"/>
  <c r="E260" i="7" s="1"/>
  <c r="F259" i="7"/>
  <c r="F260" i="7" l="1"/>
  <c r="B261" i="7"/>
  <c r="E261" i="7" s="1"/>
  <c r="I162" i="7"/>
  <c r="D163" i="7" s="1"/>
  <c r="G163" i="7" l="1"/>
  <c r="H163" i="7" s="1"/>
  <c r="I163" i="7" s="1"/>
  <c r="D164" i="7" s="1"/>
  <c r="B262" i="7"/>
  <c r="E262" i="7" s="1"/>
  <c r="F261" i="7"/>
  <c r="G164" i="7" l="1"/>
  <c r="F262" i="7"/>
  <c r="B263" i="7"/>
  <c r="E263" i="7" s="1"/>
  <c r="H164" i="7" l="1"/>
  <c r="I164" i="7" s="1"/>
  <c r="D165" i="7" s="1"/>
  <c r="G165" i="7" s="1"/>
  <c r="B264" i="7"/>
  <c r="E264" i="7" s="1"/>
  <c r="F263" i="7"/>
  <c r="H165" i="7" l="1"/>
  <c r="I165" i="7" s="1"/>
  <c r="D166" i="7" s="1"/>
  <c r="G166" i="7" s="1"/>
  <c r="B265" i="7"/>
  <c r="E265" i="7" s="1"/>
  <c r="F264" i="7"/>
  <c r="H166" i="7" l="1"/>
  <c r="I166" i="7" s="1"/>
  <c r="D167" i="7" s="1"/>
  <c r="G167" i="7" s="1"/>
  <c r="B266" i="7"/>
  <c r="E266" i="7" s="1"/>
  <c r="F265" i="7"/>
  <c r="H167" i="7" l="1"/>
  <c r="I167" i="7" s="1"/>
  <c r="D168" i="7" s="1"/>
  <c r="G168" i="7" s="1"/>
  <c r="B267" i="7"/>
  <c r="E267" i="7" s="1"/>
  <c r="H168" i="7" l="1"/>
  <c r="I168" i="7" s="1"/>
  <c r="D169" i="7" s="1"/>
  <c r="G169" i="7" s="1"/>
  <c r="B268" i="7"/>
  <c r="E268" i="7" s="1"/>
  <c r="F267" i="7"/>
  <c r="H169" i="7" l="1"/>
  <c r="I169" i="7" s="1"/>
  <c r="D170" i="7" s="1"/>
  <c r="F268" i="7"/>
  <c r="B269" i="7"/>
  <c r="E269" i="7" s="1"/>
  <c r="G170" i="7" l="1"/>
  <c r="H170" i="7" s="1"/>
  <c r="I170" i="7" s="1"/>
  <c r="D171" i="7" s="1"/>
  <c r="G171" i="7" s="1"/>
  <c r="H171" i="7" s="1"/>
  <c r="B270" i="7"/>
  <c r="E270" i="7" s="1"/>
  <c r="F269" i="7"/>
  <c r="F270" i="7" l="1"/>
  <c r="B271" i="7"/>
  <c r="E271" i="7" s="1"/>
  <c r="B272" i="7" l="1"/>
  <c r="E272" i="7" s="1"/>
  <c r="F271" i="7"/>
  <c r="I171" i="7"/>
  <c r="D172" i="7" s="1"/>
  <c r="G172" i="7" l="1"/>
  <c r="H172" i="7" s="1"/>
  <c r="B273" i="7"/>
  <c r="E273" i="7" s="1"/>
  <c r="F272" i="7"/>
  <c r="B274" i="7" l="1"/>
  <c r="E274" i="7" s="1"/>
  <c r="F273" i="7"/>
  <c r="I172" i="7" l="1"/>
  <c r="D173" i="7" s="1"/>
  <c r="B275" i="7"/>
  <c r="E275" i="7" s="1"/>
  <c r="F274" i="7"/>
  <c r="B276" i="7" l="1"/>
  <c r="E276" i="7" s="1"/>
  <c r="F275" i="7"/>
  <c r="G173" i="7"/>
  <c r="H173" i="7" s="1"/>
  <c r="F276" i="7" l="1"/>
  <c r="B277" i="7"/>
  <c r="E277" i="7" s="1"/>
  <c r="B278" i="7" l="1"/>
  <c r="E278" i="7" s="1"/>
  <c r="F277" i="7"/>
  <c r="I173" i="7"/>
  <c r="D174" i="7" s="1"/>
  <c r="G174" i="7" l="1"/>
  <c r="H174" i="7" s="1"/>
  <c r="B279" i="7"/>
  <c r="E279" i="7" s="1"/>
  <c r="F278" i="7"/>
  <c r="B280" i="7" l="1"/>
  <c r="E280" i="7" s="1"/>
  <c r="F279" i="7"/>
  <c r="I174" i="7" l="1"/>
  <c r="D175" i="7" s="1"/>
  <c r="B281" i="7"/>
  <c r="E281" i="7" s="1"/>
  <c r="F280" i="7"/>
  <c r="B282" i="7" l="1"/>
  <c r="E282" i="7" s="1"/>
  <c r="F281" i="7"/>
  <c r="G175" i="7"/>
  <c r="H175" i="7" l="1"/>
  <c r="I175" i="7" s="1"/>
  <c r="D176" i="7" s="1"/>
  <c r="B283" i="7"/>
  <c r="E283" i="7" s="1"/>
  <c r="F282" i="7"/>
  <c r="G176" i="7" l="1"/>
  <c r="H176" i="7" s="1"/>
  <c r="I176" i="7" s="1"/>
  <c r="D177" i="7" s="1"/>
  <c r="G177" i="7" s="1"/>
  <c r="B284" i="7"/>
  <c r="E284" i="7" s="1"/>
  <c r="F283" i="7"/>
  <c r="H177" i="7" l="1"/>
  <c r="I177" i="7" s="1"/>
  <c r="D178" i="7" s="1"/>
  <c r="F284" i="7"/>
  <c r="B285" i="7"/>
  <c r="E285" i="7" s="1"/>
  <c r="G178" i="7" l="1"/>
  <c r="H178" i="7" s="1"/>
  <c r="I178" i="7" s="1"/>
  <c r="D179" i="7" s="1"/>
  <c r="G179" i="7" s="1"/>
  <c r="B286" i="7"/>
  <c r="E286" i="7" s="1"/>
  <c r="F285" i="7"/>
  <c r="H179" i="7" l="1"/>
  <c r="I179" i="7" s="1"/>
  <c r="D180" i="7" s="1"/>
  <c r="F286" i="7"/>
  <c r="B287" i="7"/>
  <c r="E287" i="7" s="1"/>
  <c r="G180" i="7" l="1"/>
  <c r="H180" i="7" s="1"/>
  <c r="I180" i="7" s="1"/>
  <c r="D181" i="7" s="1"/>
  <c r="G181" i="7" s="1"/>
  <c r="B288" i="7"/>
  <c r="E288" i="7" s="1"/>
  <c r="F287" i="7"/>
  <c r="H181" i="7" l="1"/>
  <c r="I181" i="7" s="1"/>
  <c r="D182" i="7" s="1"/>
  <c r="G182" i="7" s="1"/>
  <c r="B289" i="7"/>
  <c r="E289" i="7" s="1"/>
  <c r="F288" i="7"/>
  <c r="H182" i="7" l="1"/>
  <c r="I182" i="7" s="1"/>
  <c r="D183" i="7" s="1"/>
  <c r="G183" i="7" s="1"/>
  <c r="H183" i="7" s="1"/>
  <c r="B290" i="7"/>
  <c r="E290" i="7" s="1"/>
  <c r="F289" i="7"/>
  <c r="B291" i="7" l="1"/>
  <c r="E291" i="7" s="1"/>
  <c r="F290" i="7"/>
  <c r="I183" i="7" l="1"/>
  <c r="D184" i="7" s="1"/>
  <c r="B292" i="7"/>
  <c r="E292" i="7" s="1"/>
  <c r="F291" i="7"/>
  <c r="F292" i="7" l="1"/>
  <c r="B293" i="7"/>
  <c r="E293" i="7" s="1"/>
  <c r="G184" i="7"/>
  <c r="H184" i="7" s="1"/>
  <c r="B294" i="7" l="1"/>
  <c r="E294" i="7" s="1"/>
  <c r="F293" i="7"/>
  <c r="F294" i="7" l="1"/>
  <c r="B295" i="7"/>
  <c r="E295" i="7" s="1"/>
  <c r="I184" i="7"/>
  <c r="D185" i="7" s="1"/>
  <c r="G185" i="7" l="1"/>
  <c r="H185" i="7" s="1"/>
  <c r="B296" i="7"/>
  <c r="E296" i="7" s="1"/>
  <c r="F295" i="7"/>
  <c r="B297" i="7" l="1"/>
  <c r="E297" i="7" s="1"/>
  <c r="F296" i="7"/>
  <c r="I185" i="7" l="1"/>
  <c r="D186" i="7" s="1"/>
  <c r="B298" i="7"/>
  <c r="E298" i="7" s="1"/>
  <c r="F297" i="7"/>
  <c r="B299" i="7" l="1"/>
  <c r="E299" i="7" s="1"/>
  <c r="F298" i="7"/>
  <c r="G186" i="7"/>
  <c r="H186" i="7" s="1"/>
  <c r="B300" i="7" l="1"/>
  <c r="E300" i="7" s="1"/>
  <c r="F299" i="7"/>
  <c r="F300" i="7" l="1"/>
  <c r="B301" i="7"/>
  <c r="E301" i="7" s="1"/>
  <c r="I186" i="7"/>
  <c r="D187" i="7" s="1"/>
  <c r="G187" i="7" l="1"/>
  <c r="B302" i="7"/>
  <c r="E302" i="7" s="1"/>
  <c r="F301" i="7"/>
  <c r="H187" i="7" l="1"/>
  <c r="I187" i="7" s="1"/>
  <c r="D188" i="7" s="1"/>
  <c r="G188" i="7" s="1"/>
  <c r="F302" i="7"/>
  <c r="B303" i="7"/>
  <c r="E303" i="7" s="1"/>
  <c r="H188" i="7" l="1"/>
  <c r="I188" i="7" s="1"/>
  <c r="D189" i="7" s="1"/>
  <c r="G189" i="7" s="1"/>
  <c r="B304" i="7"/>
  <c r="E304" i="7" s="1"/>
  <c r="F303" i="7"/>
  <c r="H189" i="7" l="1"/>
  <c r="I189" i="7" s="1"/>
  <c r="D190" i="7" s="1"/>
  <c r="B305" i="7"/>
  <c r="E305" i="7" s="1"/>
  <c r="F304" i="7"/>
  <c r="G190" i="7" l="1"/>
  <c r="H190" i="7" s="1"/>
  <c r="I190" i="7" s="1"/>
  <c r="D191" i="7" s="1"/>
  <c r="G191" i="7" s="1"/>
  <c r="B306" i="7"/>
  <c r="E306" i="7" s="1"/>
  <c r="F305" i="7"/>
  <c r="H191" i="7" l="1"/>
  <c r="I191" i="7" s="1"/>
  <c r="D192" i="7" s="1"/>
  <c r="B307" i="7"/>
  <c r="E307" i="7" s="1"/>
  <c r="F306" i="7"/>
  <c r="G192" i="7" l="1"/>
  <c r="H192" i="7" s="1"/>
  <c r="I192" i="7" s="1"/>
  <c r="D193" i="7" s="1"/>
  <c r="G193" i="7" s="1"/>
  <c r="B308" i="7"/>
  <c r="E308" i="7" s="1"/>
  <c r="F307" i="7"/>
  <c r="H193" i="7" l="1"/>
  <c r="I193" i="7" s="1"/>
  <c r="D194" i="7" s="1"/>
  <c r="F308" i="7"/>
  <c r="B309" i="7"/>
  <c r="E309" i="7" s="1"/>
  <c r="G194" i="7" l="1"/>
  <c r="H194" i="7" s="1"/>
  <c r="I194" i="7" s="1"/>
  <c r="D195" i="7" s="1"/>
  <c r="G195" i="7" s="1"/>
  <c r="H195" i="7" s="1"/>
  <c r="B310" i="7"/>
  <c r="E310" i="7" s="1"/>
  <c r="F309" i="7"/>
  <c r="B311" i="7" l="1"/>
  <c r="E311" i="7" s="1"/>
  <c r="F310" i="7"/>
  <c r="B312" i="7" l="1"/>
  <c r="E312" i="7" s="1"/>
  <c r="F311" i="7"/>
  <c r="I195" i="7"/>
  <c r="D196" i="7" s="1"/>
  <c r="G196" i="7" l="1"/>
  <c r="H196" i="7" s="1"/>
  <c r="B313" i="7"/>
  <c r="E313" i="7" s="1"/>
  <c r="F312" i="7"/>
  <c r="B314" i="7" l="1"/>
  <c r="E314" i="7" s="1"/>
  <c r="F313" i="7"/>
  <c r="I196" i="7" l="1"/>
  <c r="D197" i="7" s="1"/>
  <c r="B315" i="7"/>
  <c r="E315" i="7" s="1"/>
  <c r="F314" i="7"/>
  <c r="B316" i="7" l="1"/>
  <c r="E316" i="7" s="1"/>
  <c r="F315" i="7"/>
  <c r="G197" i="7"/>
  <c r="H197" i="7" s="1"/>
  <c r="F316" i="7" l="1"/>
  <c r="B317" i="7"/>
  <c r="E317" i="7" s="1"/>
  <c r="B318" i="7" l="1"/>
  <c r="E318" i="7" s="1"/>
  <c r="F317" i="7"/>
  <c r="I197" i="7"/>
  <c r="D198" i="7" s="1"/>
  <c r="G198" i="7" l="1"/>
  <c r="H198" i="7" s="1"/>
  <c r="F318" i="7"/>
  <c r="B319" i="7"/>
  <c r="E319" i="7" s="1"/>
  <c r="B320" i="7" l="1"/>
  <c r="E320" i="7" s="1"/>
  <c r="F319" i="7"/>
  <c r="B321" i="7" l="1"/>
  <c r="E321" i="7" s="1"/>
  <c r="F320" i="7"/>
  <c r="I198" i="7"/>
  <c r="D199" i="7" s="1"/>
  <c r="G199" i="7" l="1"/>
  <c r="H199" i="7" s="1"/>
  <c r="I199" i="7" s="1"/>
  <c r="D200" i="7" s="1"/>
  <c r="B322" i="7"/>
  <c r="E322" i="7" s="1"/>
  <c r="F321" i="7"/>
  <c r="B323" i="7" l="1"/>
  <c r="E323" i="7" s="1"/>
  <c r="F322" i="7"/>
  <c r="G200" i="7"/>
  <c r="H200" i="7" l="1"/>
  <c r="I200" i="7" s="1"/>
  <c r="D201" i="7" s="1"/>
  <c r="G201" i="7" s="1"/>
  <c r="B324" i="7"/>
  <c r="E324" i="7" s="1"/>
  <c r="F323" i="7"/>
  <c r="H201" i="7" l="1"/>
  <c r="I201" i="7" s="1"/>
  <c r="D202" i="7" s="1"/>
  <c r="G202" i="7" s="1"/>
  <c r="F324" i="7"/>
  <c r="B325" i="7"/>
  <c r="E325" i="7" s="1"/>
  <c r="H202" i="7" l="1"/>
  <c r="I202" i="7" s="1"/>
  <c r="D203" i="7" s="1"/>
  <c r="G203" i="7" s="1"/>
  <c r="B326" i="7"/>
  <c r="E326" i="7" s="1"/>
  <c r="F325" i="7"/>
  <c r="H203" i="7" l="1"/>
  <c r="I203" i="7" s="1"/>
  <c r="D204" i="7" s="1"/>
  <c r="G204" i="7" s="1"/>
  <c r="B327" i="7"/>
  <c r="E327" i="7" s="1"/>
  <c r="F326" i="7"/>
  <c r="H204" i="7" l="1"/>
  <c r="I204" i="7" s="1"/>
  <c r="D205" i="7" s="1"/>
  <c r="G205" i="7" s="1"/>
  <c r="B328" i="7"/>
  <c r="E328" i="7" s="1"/>
  <c r="F327" i="7"/>
  <c r="H205" i="7" l="1"/>
  <c r="I205" i="7" s="1"/>
  <c r="D206" i="7" s="1"/>
  <c r="B329" i="7"/>
  <c r="E329" i="7" s="1"/>
  <c r="F328" i="7"/>
  <c r="G206" i="7" l="1"/>
  <c r="H206" i="7" s="1"/>
  <c r="I206" i="7" s="1"/>
  <c r="D207" i="7" s="1"/>
  <c r="G207" i="7" s="1"/>
  <c r="H207" i="7" s="1"/>
  <c r="B330" i="7"/>
  <c r="E330" i="7" s="1"/>
  <c r="F329" i="7"/>
  <c r="B331" i="7" l="1"/>
  <c r="E331" i="7" s="1"/>
  <c r="F330" i="7"/>
  <c r="B332" i="7" l="1"/>
  <c r="E332" i="7" s="1"/>
  <c r="F331" i="7"/>
  <c r="I207" i="7"/>
  <c r="D208" i="7" s="1"/>
  <c r="F332" i="7" l="1"/>
  <c r="B333" i="7"/>
  <c r="E333" i="7" s="1"/>
  <c r="G208" i="7"/>
  <c r="H208" i="7" s="1"/>
  <c r="B334" i="7" l="1"/>
  <c r="E334" i="7" s="1"/>
  <c r="F333" i="7"/>
  <c r="B335" i="7" l="1"/>
  <c r="E335" i="7" s="1"/>
  <c r="F334" i="7"/>
  <c r="I208" i="7"/>
  <c r="D209" i="7" s="1"/>
  <c r="G209" i="7" l="1"/>
  <c r="H209" i="7" s="1"/>
  <c r="B336" i="7"/>
  <c r="E336" i="7" s="1"/>
  <c r="F335" i="7"/>
  <c r="B337" i="7" l="1"/>
  <c r="E337" i="7" s="1"/>
  <c r="F336" i="7"/>
  <c r="I209" i="7" l="1"/>
  <c r="D210" i="7" s="1"/>
  <c r="B338" i="7"/>
  <c r="E338" i="7" s="1"/>
  <c r="F337" i="7"/>
  <c r="G210" i="7" l="1"/>
  <c r="H210" i="7" s="1"/>
  <c r="B339" i="7"/>
  <c r="E339" i="7" s="1"/>
  <c r="F338" i="7"/>
  <c r="B340" i="7" l="1"/>
  <c r="E340" i="7" s="1"/>
  <c r="F339" i="7"/>
  <c r="I210" i="7" l="1"/>
  <c r="D211" i="7" s="1"/>
  <c r="F340" i="7"/>
  <c r="B341" i="7"/>
  <c r="E341" i="7" s="1"/>
  <c r="B342" i="7" l="1"/>
  <c r="E342" i="7" s="1"/>
  <c r="F341" i="7"/>
  <c r="G211" i="7"/>
  <c r="H211" i="7" l="1"/>
  <c r="I211" i="7" s="1"/>
  <c r="D212" i="7" s="1"/>
  <c r="G212" i="7" s="1"/>
  <c r="B343" i="7"/>
  <c r="E343" i="7" s="1"/>
  <c r="F342" i="7"/>
  <c r="H212" i="7" l="1"/>
  <c r="I212" i="7" s="1"/>
  <c r="D213" i="7" s="1"/>
  <c r="B344" i="7"/>
  <c r="E344" i="7" s="1"/>
  <c r="F343" i="7"/>
  <c r="G213" i="7" l="1"/>
  <c r="H213" i="7" s="1"/>
  <c r="I213" i="7" s="1"/>
  <c r="D214" i="7" s="1"/>
  <c r="G214" i="7" s="1"/>
  <c r="B345" i="7"/>
  <c r="E345" i="7" s="1"/>
  <c r="F344" i="7"/>
  <c r="H214" i="7" l="1"/>
  <c r="I214" i="7" s="1"/>
  <c r="D215" i="7" s="1"/>
  <c r="G215" i="7" s="1"/>
  <c r="B346" i="7"/>
  <c r="E346" i="7" s="1"/>
  <c r="F345" i="7"/>
  <c r="H215" i="7" l="1"/>
  <c r="I215" i="7" s="1"/>
  <c r="D216" i="7" s="1"/>
  <c r="G216" i="7" s="1"/>
  <c r="B347" i="7"/>
  <c r="E347" i="7" s="1"/>
  <c r="F346" i="7"/>
  <c r="H216" i="7" l="1"/>
  <c r="I216" i="7" s="1"/>
  <c r="D217" i="7" s="1"/>
  <c r="G217" i="7" s="1"/>
  <c r="B348" i="7"/>
  <c r="E348" i="7" s="1"/>
  <c r="F347" i="7"/>
  <c r="H217" i="7" l="1"/>
  <c r="I217" i="7" s="1"/>
  <c r="D218" i="7" s="1"/>
  <c r="G218" i="7" s="1"/>
  <c r="F348" i="7"/>
  <c r="B349" i="7"/>
  <c r="E349" i="7" s="1"/>
  <c r="H218" i="7" l="1"/>
  <c r="I218" i="7" s="1"/>
  <c r="D219" i="7" s="1"/>
  <c r="G219" i="7" s="1"/>
  <c r="H219" i="7" s="1"/>
  <c r="B350" i="7"/>
  <c r="E350" i="7" s="1"/>
  <c r="F349" i="7"/>
  <c r="B351" i="7" l="1"/>
  <c r="E351" i="7" s="1"/>
  <c r="F350" i="7"/>
  <c r="I219" i="7" l="1"/>
  <c r="D220" i="7" s="1"/>
  <c r="B352" i="7"/>
  <c r="E352" i="7" s="1"/>
  <c r="F351" i="7"/>
  <c r="B353" i="7" l="1"/>
  <c r="E353" i="7" s="1"/>
  <c r="F352" i="7"/>
  <c r="G220" i="7"/>
  <c r="H220" i="7" s="1"/>
  <c r="B354" i="7" l="1"/>
  <c r="E354" i="7" s="1"/>
  <c r="F353" i="7"/>
  <c r="F354" i="7" l="1"/>
  <c r="B355" i="7"/>
  <c r="E355" i="7" s="1"/>
  <c r="I220" i="7"/>
  <c r="D221" i="7" s="1"/>
  <c r="G221" i="7" l="1"/>
  <c r="H221" i="7" s="1"/>
  <c r="B356" i="7"/>
  <c r="E356" i="7" s="1"/>
  <c r="F355" i="7"/>
  <c r="F356" i="7" l="1"/>
  <c r="B357" i="7"/>
  <c r="E357" i="7" s="1"/>
  <c r="B358" i="7" l="1"/>
  <c r="E358" i="7" s="1"/>
  <c r="F357" i="7"/>
  <c r="I221" i="7"/>
  <c r="D222" i="7" s="1"/>
  <c r="G222" i="7" l="1"/>
  <c r="H222" i="7" s="1"/>
  <c r="B359" i="7"/>
  <c r="E359" i="7" s="1"/>
  <c r="F358" i="7"/>
  <c r="B360" i="7" l="1"/>
  <c r="E360" i="7" s="1"/>
  <c r="F359" i="7"/>
  <c r="I222" i="7" l="1"/>
  <c r="D223" i="7" s="1"/>
  <c r="B361" i="7"/>
  <c r="E361" i="7" s="1"/>
  <c r="F360" i="7"/>
  <c r="B362" i="7" l="1"/>
  <c r="E362" i="7" s="1"/>
  <c r="F361" i="7"/>
  <c r="G223" i="7"/>
  <c r="H223" i="7" l="1"/>
  <c r="I223" i="7" s="1"/>
  <c r="D224" i="7" s="1"/>
  <c r="F362" i="7"/>
  <c r="B363" i="7"/>
  <c r="E363" i="7" s="1"/>
  <c r="G224" i="7" l="1"/>
  <c r="H224" i="7" s="1"/>
  <c r="I224" i="7" s="1"/>
  <c r="D225" i="7" s="1"/>
  <c r="G225" i="7" s="1"/>
  <c r="B364" i="7"/>
  <c r="E364" i="7" s="1"/>
  <c r="F363" i="7"/>
  <c r="H225" i="7" l="1"/>
  <c r="I225" i="7" s="1"/>
  <c r="D226" i="7" s="1"/>
  <c r="F364" i="7"/>
  <c r="B365" i="7"/>
  <c r="E365" i="7" s="1"/>
  <c r="G226" i="7" l="1"/>
  <c r="H226" i="7" s="1"/>
  <c r="I226" i="7" s="1"/>
  <c r="D227" i="7" s="1"/>
  <c r="G227" i="7" s="1"/>
  <c r="B366" i="7"/>
  <c r="E366" i="7" s="1"/>
  <c r="F365" i="7"/>
  <c r="H227" i="7" l="1"/>
  <c r="I227" i="7" s="1"/>
  <c r="D228" i="7" s="1"/>
  <c r="G228" i="7" s="1"/>
  <c r="B367" i="7"/>
  <c r="E367" i="7" s="1"/>
  <c r="F366" i="7"/>
  <c r="H228" i="7" l="1"/>
  <c r="I228" i="7" s="1"/>
  <c r="D229" i="7" s="1"/>
  <c r="G229" i="7" s="1"/>
  <c r="B368" i="7"/>
  <c r="E368" i="7" s="1"/>
  <c r="F367" i="7"/>
  <c r="H229" i="7" l="1"/>
  <c r="I229" i="7" s="1"/>
  <c r="D230" i="7" s="1"/>
  <c r="B369" i="7"/>
  <c r="E369" i="7" s="1"/>
  <c r="F368" i="7"/>
  <c r="G230" i="7" l="1"/>
  <c r="H230" i="7" s="1"/>
  <c r="I230" i="7" s="1"/>
  <c r="D231" i="7" s="1"/>
  <c r="G231" i="7" s="1"/>
  <c r="H231" i="7" s="1"/>
  <c r="B370" i="7"/>
  <c r="E370" i="7" s="1"/>
  <c r="F369" i="7"/>
  <c r="B371" i="7" l="1"/>
  <c r="E371" i="7" s="1"/>
  <c r="F370" i="7"/>
  <c r="B372" i="7" l="1"/>
  <c r="E372" i="7" s="1"/>
  <c r="F371" i="7"/>
  <c r="I231" i="7"/>
  <c r="D232" i="7" s="1"/>
  <c r="G232" i="7" l="1"/>
  <c r="H232" i="7" s="1"/>
  <c r="F372" i="7"/>
  <c r="B373" i="7"/>
  <c r="E373" i="7" s="1"/>
  <c r="B374" i="7" l="1"/>
  <c r="E374" i="7" s="1"/>
  <c r="F373" i="7"/>
  <c r="B375" i="7" l="1"/>
  <c r="E375" i="7" s="1"/>
  <c r="F374" i="7"/>
  <c r="I232" i="7"/>
  <c r="D233" i="7" s="1"/>
  <c r="B376" i="7" l="1"/>
  <c r="E376" i="7" s="1"/>
  <c r="F375" i="7"/>
  <c r="G233" i="7"/>
  <c r="H233" i="7" s="1"/>
  <c r="B377" i="7" l="1"/>
  <c r="E377" i="7" s="1"/>
  <c r="F376" i="7"/>
  <c r="B378" i="7" l="1"/>
  <c r="E378" i="7" s="1"/>
  <c r="F377" i="7"/>
  <c r="I233" i="7"/>
  <c r="D234" i="7" s="1"/>
  <c r="G234" i="7" l="1"/>
  <c r="H234" i="7" s="1"/>
  <c r="B379" i="7"/>
  <c r="E379" i="7" s="1"/>
  <c r="F378" i="7"/>
  <c r="B380" i="7" l="1"/>
  <c r="E380" i="7" s="1"/>
  <c r="F379" i="7"/>
  <c r="I234" i="7" l="1"/>
  <c r="D235" i="7" s="1"/>
  <c r="F380" i="7"/>
  <c r="B381" i="7"/>
  <c r="E381" i="7" s="1"/>
  <c r="B382" i="7" l="1"/>
  <c r="E382" i="7" s="1"/>
  <c r="F381" i="7"/>
  <c r="G235" i="7"/>
  <c r="H235" i="7" l="1"/>
  <c r="I235" i="7" s="1"/>
  <c r="D236" i="7" s="1"/>
  <c r="G236" i="7" s="1"/>
  <c r="B383" i="7"/>
  <c r="E383" i="7" s="1"/>
  <c r="F382" i="7"/>
  <c r="H236" i="7" l="1"/>
  <c r="I236" i="7" s="1"/>
  <c r="D237" i="7" s="1"/>
  <c r="G237" i="7" s="1"/>
  <c r="B384" i="7"/>
  <c r="E384" i="7" s="1"/>
  <c r="F383" i="7"/>
  <c r="H237" i="7" l="1"/>
  <c r="I237" i="7" s="1"/>
  <c r="D238" i="7" s="1"/>
  <c r="G238" i="7" s="1"/>
  <c r="B385" i="7"/>
  <c r="E385" i="7" s="1"/>
  <c r="F384" i="7"/>
  <c r="H238" i="7" l="1"/>
  <c r="I238" i="7" s="1"/>
  <c r="D239" i="7" s="1"/>
  <c r="G239" i="7" s="1"/>
  <c r="B386" i="7"/>
  <c r="E386" i="7" s="1"/>
  <c r="F385" i="7"/>
  <c r="H239" i="7" l="1"/>
  <c r="I239" i="7" s="1"/>
  <c r="D240" i="7" s="1"/>
  <c r="G240" i="7" s="1"/>
  <c r="F386" i="7"/>
  <c r="H240" i="7" l="1"/>
  <c r="I240" i="7" s="1"/>
  <c r="D241" i="7" s="1"/>
  <c r="G241" i="7" s="1"/>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H241" i="7" l="1"/>
  <c r="I241" i="7" s="1"/>
  <c r="D242" i="7" s="1"/>
  <c r="G242" i="7" s="1"/>
  <c r="H242" i="7" l="1"/>
  <c r="I242" i="7" s="1"/>
  <c r="D243" i="7" s="1"/>
  <c r="G243" i="7" s="1"/>
  <c r="H243" i="7" s="1"/>
  <c r="I243" i="7" l="1"/>
  <c r="D244" i="7" s="1"/>
  <c r="G244" i="7" l="1"/>
  <c r="H244" i="7" s="1"/>
  <c r="I244" i="7" l="1"/>
  <c r="D245" i="7" s="1"/>
  <c r="G245" i="7" l="1"/>
  <c r="H245" i="7" s="1"/>
  <c r="I245" i="7" l="1"/>
  <c r="D246" i="7" s="1"/>
  <c r="G246" i="7" l="1"/>
  <c r="H246" i="7" s="1"/>
  <c r="I246" i="7" l="1"/>
  <c r="D247" i="7" s="1"/>
  <c r="G247" i="7" l="1"/>
  <c r="H247" i="7" l="1"/>
  <c r="I247" i="7" s="1"/>
  <c r="D248" i="7" s="1"/>
  <c r="G248" i="7" l="1"/>
  <c r="H248" i="7" s="1"/>
  <c r="I248" i="7" s="1"/>
  <c r="D249" i="7" s="1"/>
  <c r="G249" i="7" s="1"/>
  <c r="H249" i="7" l="1"/>
  <c r="I249" i="7" s="1"/>
  <c r="D250" i="7" s="1"/>
  <c r="G250" i="7" s="1"/>
  <c r="H250" i="7" l="1"/>
  <c r="I250" i="7" s="1"/>
  <c r="D251" i="7" s="1"/>
  <c r="G251" i="7" s="1"/>
  <c r="H251" i="7" l="1"/>
  <c r="I251" i="7" s="1"/>
  <c r="D252" i="7" s="1"/>
  <c r="G252" i="7" s="1"/>
  <c r="H252" i="7" l="1"/>
  <c r="I252" i="7" s="1"/>
  <c r="D253" i="7" s="1"/>
  <c r="G253" i="7" l="1"/>
  <c r="H253" i="7" s="1"/>
  <c r="I253" i="7" s="1"/>
  <c r="D254" i="7" s="1"/>
  <c r="G254" i="7" s="1"/>
  <c r="H254" i="7" l="1"/>
  <c r="I254" i="7" s="1"/>
  <c r="D255" i="7" s="1"/>
  <c r="G255" i="7" s="1"/>
  <c r="H255" i="7" s="1"/>
  <c r="I255" i="7" l="1"/>
  <c r="D256" i="7" s="1"/>
  <c r="G256" i="7" l="1"/>
  <c r="H256" i="7" s="1"/>
  <c r="I256" i="7" l="1"/>
  <c r="D257" i="7" s="1"/>
  <c r="G257" i="7" l="1"/>
  <c r="H257" i="7" s="1"/>
  <c r="I257" i="7" l="1"/>
  <c r="D258" i="7" s="1"/>
  <c r="G258" i="7" l="1"/>
  <c r="H258" i="7" s="1"/>
  <c r="I258" i="7" l="1"/>
  <c r="D259" i="7" s="1"/>
  <c r="G259" i="7" l="1"/>
  <c r="H259" i="7" l="1"/>
  <c r="I259" i="7" s="1"/>
  <c r="D260" i="7" s="1"/>
  <c r="G260" i="7" s="1"/>
  <c r="H260" i="7" l="1"/>
  <c r="I260" i="7" s="1"/>
  <c r="D261" i="7" s="1"/>
  <c r="G261" i="7" l="1"/>
  <c r="H261" i="7" s="1"/>
  <c r="I261" i="7" s="1"/>
  <c r="D262" i="7" s="1"/>
  <c r="G262" i="7" l="1"/>
  <c r="H262" i="7" s="1"/>
  <c r="I262" i="7" s="1"/>
  <c r="D263" i="7" s="1"/>
  <c r="G263" i="7" l="1"/>
  <c r="H263" i="7" s="1"/>
  <c r="I263" i="7" s="1"/>
  <c r="D264" i="7" s="1"/>
  <c r="G264" i="7" s="1"/>
  <c r="H264" i="7" l="1"/>
  <c r="I264" i="7" s="1"/>
  <c r="D265" i="7" s="1"/>
  <c r="G265" i="7" l="1"/>
  <c r="H265" i="7" s="1"/>
  <c r="I265" i="7" s="1"/>
  <c r="D266" i="7" s="1"/>
  <c r="G266" i="7" s="1"/>
  <c r="H266" i="7" s="1"/>
  <c r="F266" i="7"/>
  <c r="I55" i="11" s="1"/>
  <c r="F37" i="16" s="1"/>
  <c r="H55" i="11" l="1"/>
  <c r="E37" i="16" s="1"/>
  <c r="J55" i="11"/>
  <c r="G37" i="16" s="1"/>
  <c r="O55" i="11"/>
  <c r="L37" i="16" s="1"/>
  <c r="E55" i="11"/>
  <c r="B37" i="16" s="1"/>
  <c r="S36" i="7"/>
  <c r="I266" i="7"/>
  <c r="D267" i="7" s="1"/>
  <c r="I9" i="16" l="1"/>
  <c r="B38" i="16"/>
  <c r="B41" i="16" s="1"/>
  <c r="E56" i="11"/>
  <c r="E58" i="11" s="1"/>
  <c r="G267" i="7"/>
  <c r="H267" i="7" s="1"/>
  <c r="H9" i="16" l="1"/>
  <c r="I10" i="16"/>
  <c r="I267" i="7"/>
  <c r="D268" i="7" s="1"/>
  <c r="G11" i="10" l="1"/>
  <c r="C60" i="16" s="1"/>
  <c r="H10" i="16"/>
  <c r="I11" i="16"/>
  <c r="H11" i="16" s="1"/>
  <c r="G268" i="7"/>
  <c r="H268" i="7" s="1"/>
  <c r="C59" i="16" l="1"/>
  <c r="I268" i="7"/>
  <c r="D269" i="7" s="1"/>
  <c r="G269" i="7" l="1"/>
  <c r="H269" i="7" s="1"/>
  <c r="I269" i="7" l="1"/>
  <c r="D270" i="7" s="1"/>
  <c r="G270" i="7" l="1"/>
  <c r="H270" i="7" s="1"/>
  <c r="I270" i="7" l="1"/>
  <c r="D271" i="7" s="1"/>
  <c r="G271" i="7" l="1"/>
  <c r="H271" i="7" s="1"/>
  <c r="I271" i="7" s="1"/>
  <c r="D272" i="7" s="1"/>
  <c r="G272" i="7" l="1"/>
  <c r="H272" i="7" s="1"/>
  <c r="I272" i="7" s="1"/>
  <c r="D273" i="7" s="1"/>
  <c r="G273" i="7" l="1"/>
  <c r="H273" i="7" l="1"/>
  <c r="I273" i="7" s="1"/>
  <c r="D274" i="7" s="1"/>
  <c r="G274" i="7" l="1"/>
  <c r="H274" i="7" s="1"/>
  <c r="I274" i="7" s="1"/>
  <c r="D275" i="7" s="1"/>
  <c r="G275" i="7" l="1"/>
  <c r="H275" i="7" s="1"/>
  <c r="I275" i="7" s="1"/>
  <c r="D276" i="7" s="1"/>
  <c r="G276" i="7" l="1"/>
  <c r="H276" i="7" s="1"/>
  <c r="I276" i="7" s="1"/>
  <c r="D277" i="7" s="1"/>
  <c r="G277" i="7" s="1"/>
  <c r="H277" i="7" l="1"/>
  <c r="I277" i="7" s="1"/>
  <c r="D278" i="7" s="1"/>
  <c r="G278" i="7" l="1"/>
  <c r="H278" i="7" s="1"/>
  <c r="I278" i="7" s="1"/>
  <c r="D279" i="7" s="1"/>
  <c r="G279" i="7" s="1"/>
  <c r="H279" i="7" s="1"/>
  <c r="I279" i="7" l="1"/>
  <c r="D280" i="7" s="1"/>
  <c r="G280" i="7" l="1"/>
  <c r="H280" i="7" s="1"/>
  <c r="I280" i="7" l="1"/>
  <c r="D281" i="7" s="1"/>
  <c r="G281" i="7" l="1"/>
  <c r="H281" i="7" s="1"/>
  <c r="I281" i="7" l="1"/>
  <c r="D282" i="7" s="1"/>
  <c r="G282" i="7" l="1"/>
  <c r="H282" i="7" s="1"/>
  <c r="I282" i="7" l="1"/>
  <c r="D283" i="7" s="1"/>
  <c r="G283" i="7" l="1"/>
  <c r="H283" i="7" s="1"/>
  <c r="I283" i="7" s="1"/>
  <c r="D284" i="7" s="1"/>
  <c r="G284" i="7" l="1"/>
  <c r="H284" i="7" l="1"/>
  <c r="I284" i="7" s="1"/>
  <c r="D285" i="7" s="1"/>
  <c r="G285" i="7" l="1"/>
  <c r="H285" i="7" s="1"/>
  <c r="I285" i="7" s="1"/>
  <c r="D286" i="7" s="1"/>
  <c r="G286" i="7" s="1"/>
  <c r="H286" i="7" l="1"/>
  <c r="I286" i="7" s="1"/>
  <c r="D287" i="7" s="1"/>
  <c r="G287" i="7" l="1"/>
  <c r="H287" i="7" s="1"/>
  <c r="I287" i="7" s="1"/>
  <c r="D288" i="7" s="1"/>
  <c r="G288" i="7" s="1"/>
  <c r="H288" i="7" l="1"/>
  <c r="I288" i="7" s="1"/>
  <c r="D289" i="7" s="1"/>
  <c r="G289" i="7" l="1"/>
  <c r="H289" i="7" s="1"/>
  <c r="I289" i="7" s="1"/>
  <c r="D290" i="7" s="1"/>
  <c r="G290" i="7" s="1"/>
  <c r="H290" i="7" l="1"/>
  <c r="I290" i="7" s="1"/>
  <c r="D291" i="7" s="1"/>
  <c r="G291" i="7" s="1"/>
  <c r="H291" i="7" s="1"/>
  <c r="I291" i="7" l="1"/>
  <c r="D292" i="7" s="1"/>
  <c r="G292" i="7" l="1"/>
  <c r="H292" i="7" s="1"/>
  <c r="I292" i="7" l="1"/>
  <c r="D293" i="7" s="1"/>
  <c r="G293" i="7" l="1"/>
  <c r="H293" i="7" s="1"/>
  <c r="I293" i="7" l="1"/>
  <c r="D294" i="7" s="1"/>
  <c r="G294" i="7" l="1"/>
  <c r="H294" i="7" s="1"/>
  <c r="I294" i="7" l="1"/>
  <c r="D295" i="7" s="1"/>
  <c r="G295" i="7" l="1"/>
  <c r="H295" i="7" l="1"/>
  <c r="I295" i="7" s="1"/>
  <c r="D296" i="7" s="1"/>
  <c r="G296" i="7" l="1"/>
  <c r="H296" i="7" s="1"/>
  <c r="I296" i="7" s="1"/>
  <c r="D297" i="7" s="1"/>
  <c r="G297" i="7" l="1"/>
  <c r="H297" i="7" s="1"/>
  <c r="I297" i="7" s="1"/>
  <c r="D298" i="7" s="1"/>
  <c r="G298" i="7" l="1"/>
  <c r="H298" i="7" s="1"/>
  <c r="I298" i="7" s="1"/>
  <c r="D299" i="7" s="1"/>
  <c r="G299" i="7" s="1"/>
  <c r="H299" i="7" l="1"/>
  <c r="I299" i="7" s="1"/>
  <c r="D300" i="7" s="1"/>
  <c r="G300" i="7" s="1"/>
  <c r="H300" i="7" l="1"/>
  <c r="I300" i="7" s="1"/>
  <c r="D301" i="7" s="1"/>
  <c r="G301" i="7" l="1"/>
  <c r="H301" i="7" s="1"/>
  <c r="I301" i="7" s="1"/>
  <c r="D302" i="7" s="1"/>
  <c r="G302" i="7" s="1"/>
  <c r="H302" i="7" l="1"/>
  <c r="I302" i="7" s="1"/>
  <c r="D303" i="7" s="1"/>
  <c r="G303" i="7" s="1"/>
  <c r="H303" i="7" s="1"/>
  <c r="I303" i="7" l="1"/>
  <c r="D304" i="7" s="1"/>
  <c r="G304" i="7" l="1"/>
  <c r="H304" i="7" s="1"/>
  <c r="I304" i="7" l="1"/>
  <c r="D305" i="7" s="1"/>
  <c r="G305" i="7" l="1"/>
  <c r="H305" i="7" s="1"/>
  <c r="I305" i="7" l="1"/>
  <c r="D306" i="7" s="1"/>
  <c r="G306" i="7" l="1"/>
  <c r="H306" i="7" s="1"/>
  <c r="I306" i="7" l="1"/>
  <c r="D307" i="7" s="1"/>
  <c r="G307" i="7" l="1"/>
  <c r="H307" i="7" l="1"/>
  <c r="I307" i="7" s="1"/>
  <c r="D308" i="7" s="1"/>
  <c r="G308" i="7" l="1"/>
  <c r="H308" i="7" s="1"/>
  <c r="I308" i="7" s="1"/>
  <c r="D309" i="7" s="1"/>
  <c r="G309" i="7" s="1"/>
  <c r="H309" i="7" l="1"/>
  <c r="I309" i="7" s="1"/>
  <c r="D310" i="7" s="1"/>
  <c r="G310" i="7" l="1"/>
  <c r="H310" i="7" s="1"/>
  <c r="I310" i="7" s="1"/>
  <c r="D311" i="7" s="1"/>
  <c r="G311" i="7" l="1"/>
  <c r="H311" i="7" s="1"/>
  <c r="I311" i="7" s="1"/>
  <c r="D312" i="7" s="1"/>
  <c r="G312" i="7" s="1"/>
  <c r="H312" i="7" s="1"/>
  <c r="I312" i="7" s="1"/>
  <c r="D313" i="7" s="1"/>
  <c r="G313" i="7" l="1"/>
  <c r="H313" i="7" l="1"/>
  <c r="I313" i="7" s="1"/>
  <c r="D314" i="7" s="1"/>
  <c r="G314" i="7" s="1"/>
  <c r="H314" i="7" l="1"/>
  <c r="I314" i="7" s="1"/>
  <c r="D315" i="7" s="1"/>
  <c r="G315" i="7" s="1"/>
  <c r="H315" i="7" s="1"/>
  <c r="I315" i="7" l="1"/>
  <c r="D316" i="7" s="1"/>
  <c r="G316" i="7" l="1"/>
  <c r="H316" i="7" s="1"/>
  <c r="I316" i="7" l="1"/>
  <c r="D317" i="7" s="1"/>
  <c r="G317" i="7" l="1"/>
  <c r="H317" i="7" s="1"/>
  <c r="I317" i="7" l="1"/>
  <c r="D318" i="7" s="1"/>
  <c r="G318" i="7" l="1"/>
  <c r="H318" i="7" s="1"/>
  <c r="I318" i="7" l="1"/>
  <c r="D319" i="7" s="1"/>
  <c r="G319" i="7" l="1"/>
  <c r="H319" i="7" s="1"/>
  <c r="I319" i="7" s="1"/>
  <c r="D320" i="7" s="1"/>
  <c r="G320" i="7" l="1"/>
  <c r="H320" i="7" s="1"/>
  <c r="I320" i="7" s="1"/>
  <c r="D321" i="7" s="1"/>
  <c r="G321" i="7" l="1"/>
  <c r="H321" i="7" l="1"/>
  <c r="I321" i="7" s="1"/>
  <c r="D322" i="7" s="1"/>
  <c r="G322" i="7" l="1"/>
  <c r="H322" i="7" s="1"/>
  <c r="I322" i="7" s="1"/>
  <c r="D323" i="7" s="1"/>
  <c r="G323" i="7" s="1"/>
  <c r="H323" i="7" l="1"/>
  <c r="I323" i="7" s="1"/>
  <c r="D324" i="7" s="1"/>
  <c r="G324" i="7" l="1"/>
  <c r="H324" i="7" s="1"/>
  <c r="I324" i="7" s="1"/>
  <c r="D325" i="7" s="1"/>
  <c r="G325" i="7" s="1"/>
  <c r="H325" i="7" l="1"/>
  <c r="I325" i="7" s="1"/>
  <c r="D326" i="7" s="1"/>
  <c r="G326" i="7" s="1"/>
  <c r="H326" i="7" l="1"/>
  <c r="I326" i="7" s="1"/>
  <c r="D327" i="7" s="1"/>
  <c r="G327" i="7" s="1"/>
  <c r="H327" i="7" s="1"/>
  <c r="I327" i="7" l="1"/>
  <c r="D328" i="7" s="1"/>
  <c r="G328" i="7" l="1"/>
  <c r="H328" i="7" s="1"/>
  <c r="I328" i="7" l="1"/>
  <c r="D329" i="7" s="1"/>
  <c r="G329" i="7" l="1"/>
  <c r="H329" i="7" s="1"/>
  <c r="I329" i="7" l="1"/>
  <c r="D330" i="7" s="1"/>
  <c r="G330" i="7" l="1"/>
  <c r="H330" i="7" s="1"/>
  <c r="I330" i="7" l="1"/>
  <c r="D331" i="7" s="1"/>
  <c r="G331" i="7" l="1"/>
  <c r="H331" i="7" l="1"/>
  <c r="I331" i="7" s="1"/>
  <c r="D332" i="7" s="1"/>
  <c r="G332" i="7" s="1"/>
  <c r="H332" i="7" l="1"/>
  <c r="I332" i="7" s="1"/>
  <c r="D333" i="7" s="1"/>
  <c r="G333" i="7" l="1"/>
  <c r="H333" i="7" s="1"/>
  <c r="I333" i="7" s="1"/>
  <c r="D334" i="7" s="1"/>
  <c r="G334" i="7" s="1"/>
  <c r="H334" i="7" l="1"/>
  <c r="I334" i="7" s="1"/>
  <c r="D335" i="7" s="1"/>
  <c r="G335" i="7" l="1"/>
  <c r="H335" i="7" s="1"/>
  <c r="I335" i="7" s="1"/>
  <c r="D336" i="7" s="1"/>
  <c r="G336" i="7" s="1"/>
  <c r="H336" i="7" l="1"/>
  <c r="I336" i="7" s="1"/>
  <c r="D337" i="7" s="1"/>
  <c r="G337" i="7" s="1"/>
  <c r="H337" i="7" l="1"/>
  <c r="I337" i="7" s="1"/>
  <c r="D338" i="7" s="1"/>
  <c r="G338" i="7" s="1"/>
  <c r="H338" i="7" l="1"/>
  <c r="I338" i="7" s="1"/>
  <c r="D339" i="7" s="1"/>
  <c r="G339" i="7" s="1"/>
  <c r="H339" i="7" s="1"/>
  <c r="I339" i="7" l="1"/>
  <c r="D340" i="7" s="1"/>
  <c r="G340" i="7" l="1"/>
  <c r="H340" i="7" s="1"/>
  <c r="I340" i="7" l="1"/>
  <c r="D341" i="7" s="1"/>
  <c r="G341" i="7" l="1"/>
  <c r="H341" i="7" s="1"/>
  <c r="I341" i="7" l="1"/>
  <c r="D342" i="7" s="1"/>
  <c r="G342" i="7" l="1"/>
  <c r="H342" i="7" s="1"/>
  <c r="I342" i="7" l="1"/>
  <c r="D343" i="7" s="1"/>
  <c r="G343" i="7" l="1"/>
  <c r="H343" i="7" s="1"/>
  <c r="I343" i="7" s="1"/>
  <c r="D344" i="7" s="1"/>
  <c r="G344" i="7" l="1"/>
  <c r="H344" i="7" l="1"/>
  <c r="I344" i="7" s="1"/>
  <c r="D345" i="7" s="1"/>
  <c r="G345" i="7" s="1"/>
  <c r="H345" i="7" l="1"/>
  <c r="I345" i="7" s="1"/>
  <c r="D346" i="7" s="1"/>
  <c r="G346" i="7" s="1"/>
  <c r="H346" i="7" l="1"/>
  <c r="I346" i="7" s="1"/>
  <c r="D347" i="7" s="1"/>
  <c r="G347" i="7" l="1"/>
  <c r="H347" i="7" s="1"/>
  <c r="I347" i="7" s="1"/>
  <c r="D348" i="7" s="1"/>
  <c r="G348" i="7" s="1"/>
  <c r="H348" i="7" l="1"/>
  <c r="I348" i="7" s="1"/>
  <c r="D349" i="7" s="1"/>
  <c r="G349" i="7" s="1"/>
  <c r="H349" i="7" l="1"/>
  <c r="I349" i="7" s="1"/>
  <c r="D350" i="7" s="1"/>
  <c r="G350" i="7" s="1"/>
  <c r="H350" i="7" l="1"/>
  <c r="I350" i="7" s="1"/>
  <c r="D351" i="7" s="1"/>
  <c r="G351" i="7" s="1"/>
  <c r="H351" i="7" s="1"/>
  <c r="I351" i="7" l="1"/>
  <c r="D352" i="7" s="1"/>
  <c r="G352" i="7" l="1"/>
  <c r="H352" i="7" s="1"/>
  <c r="I352" i="7" l="1"/>
  <c r="D353" i="7" s="1"/>
  <c r="G353" i="7" l="1"/>
  <c r="H353" i="7" s="1"/>
  <c r="I353" i="7" l="1"/>
  <c r="D354" i="7" s="1"/>
  <c r="G354" i="7" l="1"/>
  <c r="H354" i="7" s="1"/>
  <c r="I354" i="7" l="1"/>
  <c r="D355" i="7" s="1"/>
  <c r="G355" i="7" l="1"/>
  <c r="H355" i="7" s="1"/>
  <c r="I355" i="7" s="1"/>
  <c r="D356" i="7" s="1"/>
  <c r="G356" i="7" l="1"/>
  <c r="H356" i="7" l="1"/>
  <c r="I356" i="7" s="1"/>
  <c r="D357" i="7" s="1"/>
  <c r="G357" i="7" l="1"/>
  <c r="H357" i="7" s="1"/>
  <c r="I357" i="7" s="1"/>
  <c r="D358" i="7" s="1"/>
  <c r="G358" i="7" s="1"/>
  <c r="H358" i="7" l="1"/>
  <c r="I358" i="7" s="1"/>
  <c r="D359" i="7" s="1"/>
  <c r="G359" i="7" s="1"/>
  <c r="H359" i="7" l="1"/>
  <c r="I359" i="7" s="1"/>
  <c r="D360" i="7" s="1"/>
  <c r="G360" i="7" s="1"/>
  <c r="H360" i="7" l="1"/>
  <c r="I360" i="7" s="1"/>
  <c r="D361" i="7" s="1"/>
  <c r="G361" i="7" s="1"/>
  <c r="H361" i="7" l="1"/>
  <c r="I361" i="7" s="1"/>
  <c r="D362" i="7" s="1"/>
  <c r="G362" i="7" s="1"/>
  <c r="H362" i="7" l="1"/>
  <c r="I362" i="7" s="1"/>
  <c r="D363" i="7" s="1"/>
  <c r="G363" i="7" s="1"/>
  <c r="H363" i="7" s="1"/>
  <c r="I363" i="7" l="1"/>
  <c r="D364" i="7" s="1"/>
  <c r="G364" i="7" l="1"/>
  <c r="H364" i="7" s="1"/>
  <c r="I364" i="7" l="1"/>
  <c r="D365" i="7" s="1"/>
  <c r="G365" i="7" l="1"/>
  <c r="H365" i="7" s="1"/>
  <c r="I365" i="7" l="1"/>
  <c r="D366" i="7" s="1"/>
  <c r="G366" i="7" l="1"/>
  <c r="H366" i="7" s="1"/>
  <c r="I366" i="7" l="1"/>
  <c r="D367" i="7" s="1"/>
  <c r="G367" i="7" l="1"/>
  <c r="H367" i="7" s="1"/>
  <c r="I367" i="7" s="1"/>
  <c r="D368" i="7" s="1"/>
  <c r="G368" i="7" l="1"/>
  <c r="H368" i="7" l="1"/>
  <c r="I368" i="7" s="1"/>
  <c r="D369" i="7" s="1"/>
  <c r="G369" i="7" l="1"/>
  <c r="H369" i="7" s="1"/>
  <c r="I369" i="7" s="1"/>
  <c r="D370" i="7" s="1"/>
  <c r="G370" i="7" s="1"/>
  <c r="H370" i="7" l="1"/>
  <c r="I370" i="7" s="1"/>
  <c r="D371" i="7" s="1"/>
  <c r="G371" i="7" l="1"/>
  <c r="H371" i="7" s="1"/>
  <c r="I371" i="7" s="1"/>
  <c r="D372" i="7" s="1"/>
  <c r="G372" i="7" s="1"/>
  <c r="H372" i="7" l="1"/>
  <c r="I372" i="7" s="1"/>
  <c r="D373" i="7" s="1"/>
  <c r="G373" i="7" l="1"/>
  <c r="H373" i="7" s="1"/>
  <c r="I373" i="7" s="1"/>
  <c r="D374" i="7" s="1"/>
  <c r="G374" i="7" s="1"/>
  <c r="H374" i="7" l="1"/>
  <c r="I374" i="7" s="1"/>
  <c r="D375" i="7" s="1"/>
  <c r="G375" i="7" s="1"/>
  <c r="H375" i="7" s="1"/>
  <c r="I375" i="7" l="1"/>
  <c r="D376" i="7" s="1"/>
  <c r="G376" i="7" l="1"/>
  <c r="H376" i="7" s="1"/>
  <c r="I376" i="7" l="1"/>
  <c r="D377" i="7" s="1"/>
  <c r="G377" i="7" l="1"/>
  <c r="H377" i="7" s="1"/>
  <c r="I377" i="7" l="1"/>
  <c r="D378" i="7" s="1"/>
  <c r="G378" i="7" l="1"/>
  <c r="H378" i="7" s="1"/>
  <c r="I378" i="7" l="1"/>
  <c r="D379" i="7" s="1"/>
  <c r="G379" i="7" l="1"/>
  <c r="H379" i="7" l="1"/>
  <c r="I379" i="7" s="1"/>
  <c r="D380" i="7" s="1"/>
  <c r="G380" i="7" s="1"/>
  <c r="H380" i="7" l="1"/>
  <c r="I380" i="7" s="1"/>
  <c r="D381" i="7" s="1"/>
  <c r="G381" i="7" s="1"/>
  <c r="H381" i="7" l="1"/>
  <c r="I381" i="7" s="1"/>
  <c r="D382" i="7" s="1"/>
  <c r="G382" i="7" s="1"/>
  <c r="H382" i="7" l="1"/>
  <c r="I382" i="7" s="1"/>
  <c r="D383" i="7" s="1"/>
  <c r="G383" i="7" l="1"/>
  <c r="H383" i="7" s="1"/>
  <c r="I383" i="7" s="1"/>
  <c r="D384" i="7" s="1"/>
  <c r="G384" i="7" s="1"/>
  <c r="H384" i="7" l="1"/>
  <c r="I384" i="7" s="1"/>
  <c r="D385" i="7" s="1"/>
  <c r="G385" i="7" l="1"/>
  <c r="H385" i="7" s="1"/>
  <c r="I385" i="7" s="1"/>
  <c r="D386" i="7" s="1"/>
  <c r="G386" i="7" s="1"/>
  <c r="H386" i="7" s="1"/>
  <c r="M27" i="7" l="1"/>
  <c r="F53" i="11" s="1"/>
  <c r="M28" i="7"/>
  <c r="G53" i="11" s="1"/>
  <c r="M29" i="7"/>
  <c r="H53" i="11" s="1"/>
  <c r="M30" i="7"/>
  <c r="I53" i="11" s="1"/>
  <c r="M31" i="7"/>
  <c r="J53" i="11" s="1"/>
  <c r="M32" i="7"/>
  <c r="K53" i="11" s="1"/>
  <c r="M33" i="7"/>
  <c r="L53" i="11" s="1"/>
  <c r="M34" i="7"/>
  <c r="M53" i="11" s="1"/>
  <c r="M35" i="7"/>
  <c r="N53" i="11" s="1"/>
  <c r="M36" i="7"/>
  <c r="O53" i="11" s="1"/>
  <c r="M37" i="7"/>
  <c r="P53" i="11" s="1"/>
  <c r="M38" i="7"/>
  <c r="M39" i="7"/>
  <c r="M40" i="7"/>
  <c r="M41" i="7"/>
  <c r="M42" i="7"/>
  <c r="M43" i="7"/>
  <c r="M44" i="7"/>
  <c r="M45" i="7"/>
  <c r="M46" i="7"/>
  <c r="M47" i="7"/>
  <c r="M48" i="7"/>
  <c r="M49" i="7"/>
  <c r="M50" i="7"/>
  <c r="M51" i="7"/>
  <c r="M52" i="7"/>
  <c r="M53" i="7"/>
  <c r="M54" i="7"/>
  <c r="M55" i="7"/>
  <c r="M56" i="7"/>
  <c r="C53" i="11" l="1"/>
  <c r="N27" i="7"/>
  <c r="N28" i="7"/>
  <c r="G54" i="11" s="1"/>
  <c r="G56" i="11" s="1"/>
  <c r="N29" i="7"/>
  <c r="H54" i="11" s="1"/>
  <c r="H56" i="11" s="1"/>
  <c r="N30" i="7"/>
  <c r="I54" i="11" s="1"/>
  <c r="I56" i="11" s="1"/>
  <c r="N31" i="7"/>
  <c r="J54" i="11" s="1"/>
  <c r="J56" i="11" s="1"/>
  <c r="N32" i="7"/>
  <c r="K54" i="11" s="1"/>
  <c r="K56" i="11" s="1"/>
  <c r="N33" i="7"/>
  <c r="L54" i="11" s="1"/>
  <c r="L56" i="11" s="1"/>
  <c r="N34" i="7"/>
  <c r="M54" i="11" s="1"/>
  <c r="M56" i="11" s="1"/>
  <c r="N35" i="7"/>
  <c r="N54" i="11" s="1"/>
  <c r="N56" i="11" s="1"/>
  <c r="N36" i="7"/>
  <c r="O54" i="11" s="1"/>
  <c r="O56" i="11" s="1"/>
  <c r="N37" i="7"/>
  <c r="N38" i="7"/>
  <c r="N39" i="7"/>
  <c r="N40" i="7"/>
  <c r="N41" i="7"/>
  <c r="N42" i="7"/>
  <c r="N43" i="7"/>
  <c r="N44" i="7"/>
  <c r="N45" i="7"/>
  <c r="N46" i="7"/>
  <c r="N47" i="7"/>
  <c r="N48" i="7"/>
  <c r="N49" i="7"/>
  <c r="N50" i="7"/>
  <c r="N51" i="7"/>
  <c r="N52" i="7"/>
  <c r="N53" i="7"/>
  <c r="N54" i="7"/>
  <c r="N55" i="7"/>
  <c r="N56" i="7"/>
  <c r="I386" i="7"/>
  <c r="D36" i="16" l="1"/>
  <c r="E36" i="16"/>
  <c r="F36" i="16"/>
  <c r="G36" i="16"/>
  <c r="H36" i="16"/>
  <c r="I36" i="16"/>
  <c r="J36" i="16"/>
  <c r="K36" i="16"/>
  <c r="L36" i="16"/>
  <c r="O58" i="11"/>
  <c r="N58" i="11"/>
  <c r="M58" i="11"/>
  <c r="L58" i="11"/>
  <c r="K58" i="11"/>
  <c r="J58" i="11"/>
  <c r="I58" i="11"/>
  <c r="H58" i="11"/>
  <c r="G58" i="11"/>
  <c r="F54" i="11"/>
  <c r="C36" i="16" s="1"/>
  <c r="P54" i="11"/>
  <c r="M36" i="16" s="1"/>
  <c r="O27" i="7"/>
  <c r="O30" i="7"/>
  <c r="O29" i="7"/>
  <c r="O28" i="7"/>
  <c r="O31" i="7"/>
  <c r="O32" i="7"/>
  <c r="O33" i="7"/>
  <c r="O37" i="7"/>
  <c r="O34" i="7"/>
  <c r="O35" i="7"/>
  <c r="O36" i="7"/>
  <c r="O38" i="7"/>
  <c r="O39" i="7"/>
  <c r="O41" i="7"/>
  <c r="O40" i="7"/>
  <c r="O42" i="7"/>
  <c r="O43" i="7"/>
  <c r="O44" i="7"/>
  <c r="O45" i="7"/>
  <c r="O46" i="7"/>
  <c r="O47" i="7"/>
  <c r="O48" i="7"/>
  <c r="O49" i="7"/>
  <c r="O53" i="7"/>
  <c r="O50" i="7"/>
  <c r="O52" i="7"/>
  <c r="O51" i="7"/>
  <c r="O54" i="7"/>
  <c r="O55" i="7"/>
  <c r="O56" i="7"/>
  <c r="ET27" i="10"/>
  <c r="ET29" i="10" s="1"/>
  <c r="ES27" i="10"/>
  <c r="ES29" i="10" s="1"/>
  <c r="ER27" i="10"/>
  <c r="ER29" i="10" s="1"/>
  <c r="EQ27" i="10"/>
  <c r="EQ29" i="10" s="1"/>
  <c r="EP27" i="10"/>
  <c r="EP29" i="10" s="1"/>
  <c r="EO27" i="10"/>
  <c r="EO29" i="10" s="1"/>
  <c r="EN27" i="10"/>
  <c r="EN29" i="10" s="1"/>
  <c r="EM27" i="10"/>
  <c r="EM29" i="10" s="1"/>
  <c r="EL27" i="10"/>
  <c r="EL29" i="10" s="1"/>
  <c r="EK27" i="10"/>
  <c r="EK29" i="10" s="1"/>
  <c r="EJ27" i="10"/>
  <c r="EJ29" i="10" s="1"/>
  <c r="EH27" i="10"/>
  <c r="EH29" i="10" s="1"/>
  <c r="EI27" i="10"/>
  <c r="EI29" i="10" s="1"/>
  <c r="EG27" i="10"/>
  <c r="EG29" i="10" s="1"/>
  <c r="EF27" i="10"/>
  <c r="EF29" i="10" s="1"/>
  <c r="EE27" i="10"/>
  <c r="EE29" i="10" s="1"/>
  <c r="EC27" i="10"/>
  <c r="EC29" i="10" s="1"/>
  <c r="ED27" i="10"/>
  <c r="ED29" i="10" s="1"/>
  <c r="EB27" i="10"/>
  <c r="EB29" i="10" s="1"/>
  <c r="EA27" i="10"/>
  <c r="EA29" i="10" s="1"/>
  <c r="DY27" i="10"/>
  <c r="DY29" i="10" s="1"/>
  <c r="DZ27" i="10"/>
  <c r="DZ29" i="10" s="1"/>
  <c r="DX27" i="10"/>
  <c r="DX29" i="10" s="1"/>
  <c r="DW27" i="10"/>
  <c r="DW29" i="10" s="1"/>
  <c r="DV27" i="10"/>
  <c r="DV29" i="10" s="1"/>
  <c r="DU27" i="10"/>
  <c r="DU29" i="10" s="1"/>
  <c r="DT27" i="10"/>
  <c r="DT29" i="10" s="1"/>
  <c r="DR27" i="10"/>
  <c r="DR29" i="10" s="1"/>
  <c r="DS27" i="10"/>
  <c r="DS29" i="10" s="1"/>
  <c r="DQ27" i="10"/>
  <c r="DQ29" i="10" s="1"/>
  <c r="DP27" i="10"/>
  <c r="DP29" i="10" s="1"/>
  <c r="DO27" i="10"/>
  <c r="DO29" i="10" s="1"/>
  <c r="DN27" i="10"/>
  <c r="DN29" i="10" s="1"/>
  <c r="DM27" i="10"/>
  <c r="DM29" i="10" s="1"/>
  <c r="DL27" i="10"/>
  <c r="DL29" i="10" s="1"/>
  <c r="DK27" i="10"/>
  <c r="DK29" i="10" s="1"/>
  <c r="DI27" i="10"/>
  <c r="DI29" i="10" s="1"/>
  <c r="DJ27" i="10"/>
  <c r="DJ29" i="10" s="1"/>
  <c r="DH27" i="10"/>
  <c r="DH29" i="10" s="1"/>
  <c r="DG27" i="10"/>
  <c r="DG29" i="10" s="1"/>
  <c r="DF27" i="10"/>
  <c r="DF29" i="10" s="1"/>
  <c r="DE27" i="10"/>
  <c r="DE29" i="10" s="1"/>
  <c r="DD27" i="10"/>
  <c r="DD29" i="10" s="1"/>
  <c r="DC27" i="10"/>
  <c r="DC29" i="10" s="1"/>
  <c r="DB27" i="10"/>
  <c r="DB29" i="10" s="1"/>
  <c r="DA27" i="10"/>
  <c r="DA29" i="10" s="1"/>
  <c r="CZ27" i="10"/>
  <c r="CZ29" i="10" s="1"/>
  <c r="CY27" i="10"/>
  <c r="CY29" i="10" s="1"/>
  <c r="CX27" i="10"/>
  <c r="CX29" i="10" s="1"/>
  <c r="CW27" i="10"/>
  <c r="CW29" i="10" s="1"/>
  <c r="CV27" i="10"/>
  <c r="CV29" i="10" s="1"/>
  <c r="CU27" i="10"/>
  <c r="CU29" i="10" s="1"/>
  <c r="CT27" i="10"/>
  <c r="CT29" i="10" s="1"/>
  <c r="CS27" i="10"/>
  <c r="CS29" i="10" s="1"/>
  <c r="CR27" i="10"/>
  <c r="CR29" i="10" s="1"/>
  <c r="CQ27" i="10"/>
  <c r="CQ29" i="10" s="1"/>
  <c r="CP27" i="10"/>
  <c r="CP29" i="10" s="1"/>
  <c r="CO27" i="10"/>
  <c r="CO29" i="10" s="1"/>
  <c r="CN27" i="10"/>
  <c r="CN29" i="10" s="1"/>
  <c r="CM27" i="10"/>
  <c r="CM29" i="10" s="1"/>
  <c r="CL27" i="10"/>
  <c r="CL29" i="10" s="1"/>
  <c r="CK27" i="10"/>
  <c r="CK29" i="10" s="1"/>
  <c r="CJ27" i="10"/>
  <c r="CJ29" i="10" s="1"/>
  <c r="CI27" i="10"/>
  <c r="CI29" i="10" s="1"/>
  <c r="CH27" i="10"/>
  <c r="CH29" i="10" s="1"/>
  <c r="CG27" i="10"/>
  <c r="CG29" i="10" s="1"/>
  <c r="CE27" i="10"/>
  <c r="CE29" i="10" s="1"/>
  <c r="CF27" i="10"/>
  <c r="CF29" i="10" s="1"/>
  <c r="CC27" i="10"/>
  <c r="CC29" i="10" s="1"/>
  <c r="CD27" i="10"/>
  <c r="CD29" i="10" s="1"/>
  <c r="CA27" i="10"/>
  <c r="CA29" i="10" s="1"/>
  <c r="CB27" i="10"/>
  <c r="CB29" i="10" s="1"/>
  <c r="BZ27" i="10"/>
  <c r="BZ29" i="10" s="1"/>
  <c r="BY27" i="10"/>
  <c r="BY29" i="10" s="1"/>
  <c r="BX27" i="10"/>
  <c r="BX29" i="10" s="1"/>
  <c r="BW27" i="10"/>
  <c r="BW29" i="10" s="1"/>
  <c r="BV27" i="10"/>
  <c r="BV29" i="10" s="1"/>
  <c r="BU27" i="10"/>
  <c r="BU29" i="10" s="1"/>
  <c r="BS27" i="10"/>
  <c r="BS29" i="10" s="1"/>
  <c r="BT27" i="10"/>
  <c r="BT29" i="10" s="1"/>
  <c r="BR27" i="10"/>
  <c r="BR29" i="10" s="1"/>
  <c r="BQ27" i="10"/>
  <c r="BQ29" i="10" s="1"/>
  <c r="BP27" i="10"/>
  <c r="BP29" i="10" s="1"/>
  <c r="BO27" i="10"/>
  <c r="BO29" i="10" s="1"/>
  <c r="BN27" i="10"/>
  <c r="BN29" i="10" s="1"/>
  <c r="BM27" i="10"/>
  <c r="BM29" i="10" s="1"/>
  <c r="BL27" i="10"/>
  <c r="BL29" i="10" s="1"/>
  <c r="BK27" i="10"/>
  <c r="BK29" i="10" s="1"/>
  <c r="BJ27" i="10"/>
  <c r="BJ29" i="10" s="1"/>
  <c r="BI27" i="10"/>
  <c r="BI29" i="10" s="1"/>
  <c r="BH27" i="10"/>
  <c r="BH29" i="10" s="1"/>
  <c r="BG27" i="10"/>
  <c r="BG29" i="10" s="1"/>
  <c r="BF27" i="10"/>
  <c r="BF29" i="10" s="1"/>
  <c r="BD27" i="10"/>
  <c r="BD29" i="10" s="1"/>
  <c r="BE27" i="10"/>
  <c r="BE29" i="10" s="1"/>
  <c r="BB27" i="10"/>
  <c r="BB29" i="10" s="1"/>
  <c r="BC27" i="10"/>
  <c r="BC29" i="10" s="1"/>
  <c r="BA27" i="10"/>
  <c r="BA29" i="10" s="1"/>
  <c r="AZ27" i="10"/>
  <c r="AZ29" i="10" s="1"/>
  <c r="AY27" i="10"/>
  <c r="AY29" i="10" s="1"/>
  <c r="AW27" i="10"/>
  <c r="AW29" i="10" s="1"/>
  <c r="AX27" i="10"/>
  <c r="AX29" i="10" s="1"/>
  <c r="AV27" i="10"/>
  <c r="AV29" i="10" s="1"/>
  <c r="AU27" i="10"/>
  <c r="AU29" i="10" s="1"/>
  <c r="AT27" i="10"/>
  <c r="AT29" i="10" s="1"/>
  <c r="AS27" i="10"/>
  <c r="AS29" i="10" s="1"/>
  <c r="AR27" i="10"/>
  <c r="AR29" i="10" s="1"/>
  <c r="AP27" i="10"/>
  <c r="AP29" i="10" s="1"/>
  <c r="AQ27" i="10"/>
  <c r="AQ29" i="10" s="1"/>
  <c r="AO27" i="10"/>
  <c r="AO29" i="10" s="1"/>
  <c r="AN27" i="10"/>
  <c r="AN29" i="10" s="1"/>
  <c r="AM27" i="10"/>
  <c r="AM29" i="10" s="1"/>
  <c r="AL27" i="10"/>
  <c r="AL29" i="10" s="1"/>
  <c r="AK27" i="10"/>
  <c r="AK29" i="10" s="1"/>
  <c r="AJ27" i="10"/>
  <c r="AJ29" i="10" s="1"/>
  <c r="AI27" i="10"/>
  <c r="AI29" i="10" s="1"/>
  <c r="AH27" i="10"/>
  <c r="AH29" i="10" s="1"/>
  <c r="AG27" i="10"/>
  <c r="AG29" i="10" s="1"/>
  <c r="AF27" i="10"/>
  <c r="AF29" i="10" s="1"/>
  <c r="AE27" i="10"/>
  <c r="AE29" i="10" s="1"/>
  <c r="AD27" i="10"/>
  <c r="AD29" i="10" s="1"/>
  <c r="AC27" i="10"/>
  <c r="AC29" i="10" s="1"/>
  <c r="AB27" i="10"/>
  <c r="AB29" i="10" s="1"/>
  <c r="Z27" i="10"/>
  <c r="Z29" i="10" s="1"/>
  <c r="AA27" i="10"/>
  <c r="AA29" i="10" s="1"/>
  <c r="Y27" i="10"/>
  <c r="Y29" i="10" s="1"/>
  <c r="X27" i="10"/>
  <c r="X29" i="10" s="1"/>
  <c r="V27" i="10"/>
  <c r="V29" i="10" s="1"/>
  <c r="W27" i="10"/>
  <c r="W29" i="10" s="1"/>
  <c r="U27" i="10"/>
  <c r="U29" i="10" s="1"/>
  <c r="T27" i="10"/>
  <c r="T29" i="10" s="1"/>
  <c r="S27" i="10"/>
  <c r="S29" i="10" s="1"/>
  <c r="M38" i="16" l="1"/>
  <c r="M39" i="16"/>
  <c r="M42" i="16"/>
  <c r="L38" i="16"/>
  <c r="L39" i="16"/>
  <c r="L42" i="16"/>
  <c r="K39" i="16"/>
  <c r="K38" i="16"/>
  <c r="K42" i="16"/>
  <c r="J39" i="16"/>
  <c r="J38" i="16"/>
  <c r="J42" i="16"/>
  <c r="I39" i="16"/>
  <c r="I38" i="16"/>
  <c r="I42" i="16"/>
  <c r="H39" i="16"/>
  <c r="H38" i="16"/>
  <c r="H42" i="16"/>
  <c r="C38" i="16"/>
  <c r="C41" i="16" s="1"/>
  <c r="C39" i="16"/>
  <c r="C42" i="16"/>
  <c r="G38" i="16"/>
  <c r="G39" i="16"/>
  <c r="G42" i="16"/>
  <c r="F38" i="16"/>
  <c r="F39" i="16"/>
  <c r="F42" i="16"/>
  <c r="E38" i="16"/>
  <c r="E39" i="16"/>
  <c r="E42" i="16"/>
  <c r="D38" i="16"/>
  <c r="D39" i="16"/>
  <c r="D42" i="16"/>
  <c r="P56" i="11"/>
  <c r="F56" i="11"/>
  <c r="F58" i="11" s="1"/>
  <c r="C54" i="11"/>
  <c r="G27" i="10"/>
  <c r="G29" i="10" s="1"/>
  <c r="G36" i="10" s="1"/>
  <c r="G44" i="10" s="1"/>
  <c r="G18" i="10"/>
  <c r="G17" i="10" s="1"/>
  <c r="H41" i="16" l="1"/>
  <c r="M11" i="10" s="1"/>
  <c r="J41" i="16"/>
  <c r="O11" i="10" s="1"/>
  <c r="K41" i="16"/>
  <c r="P11" i="10" s="1"/>
  <c r="D41" i="16"/>
  <c r="I11" i="10" s="1"/>
  <c r="E41" i="16"/>
  <c r="J11" i="10" s="1"/>
  <c r="L41" i="16"/>
  <c r="Q11" i="10" s="1"/>
  <c r="I41" i="16"/>
  <c r="N11" i="10" s="1"/>
  <c r="F41" i="16"/>
  <c r="K11" i="10" s="1"/>
  <c r="G41" i="16"/>
  <c r="L11" i="10" s="1"/>
  <c r="M41" i="16"/>
  <c r="R11" i="10" s="1"/>
  <c r="L60" i="16"/>
  <c r="K58" i="16"/>
  <c r="P58" i="11"/>
  <c r="G49" i="10"/>
  <c r="R18" i="10" l="1"/>
  <c r="R17" i="10" s="1"/>
  <c r="R69" i="10" s="1"/>
  <c r="M7" i="16"/>
  <c r="M8" i="16"/>
  <c r="H11" i="10"/>
  <c r="M6" i="16"/>
  <c r="M58" i="16"/>
  <c r="J60" i="16"/>
  <c r="C67" i="11"/>
  <c r="C65" i="11"/>
  <c r="C66" i="11"/>
  <c r="G19" i="10"/>
  <c r="G58" i="10"/>
  <c r="G48" i="10"/>
  <c r="G69" i="10"/>
  <c r="R19" i="10" l="1"/>
  <c r="R58" i="10"/>
  <c r="L6" i="16"/>
  <c r="Y46" i="16"/>
  <c r="G50" i="10"/>
  <c r="G51" i="10" s="1"/>
  <c r="G63" i="10"/>
  <c r="G60" i="10"/>
  <c r="G62" i="10" s="1"/>
  <c r="H57" i="10" s="1"/>
  <c r="G72" i="10"/>
  <c r="G74" i="10" s="1"/>
  <c r="H68" i="10" s="1"/>
  <c r="G75" i="10"/>
  <c r="H59" i="10" l="1"/>
  <c r="H70" i="10"/>
  <c r="J18" i="10"/>
  <c r="J17" i="10" s="1"/>
  <c r="J19" i="10" s="1"/>
  <c r="L18" i="10"/>
  <c r="L17" i="10" s="1"/>
  <c r="L19" i="10" s="1"/>
  <c r="M18" i="10"/>
  <c r="M17" i="10" s="1"/>
  <c r="N18" i="10"/>
  <c r="N17" i="10" s="1"/>
  <c r="Q18" i="10"/>
  <c r="Q17" i="10" s="1"/>
  <c r="Q19" i="10" l="1"/>
  <c r="Q58" i="10"/>
  <c r="Q69" i="10"/>
  <c r="M58" i="10"/>
  <c r="M69" i="10"/>
  <c r="M19" i="10"/>
  <c r="N19" i="10"/>
  <c r="N58" i="10"/>
  <c r="N69" i="10"/>
  <c r="J69" i="10"/>
  <c r="L58" i="10"/>
  <c r="L69" i="10"/>
  <c r="J58" i="10"/>
  <c r="P18" i="10"/>
  <c r="P17" i="10" s="1"/>
  <c r="O18" i="10"/>
  <c r="O17" i="10" s="1"/>
  <c r="K18" i="10"/>
  <c r="K17" i="10" s="1"/>
  <c r="I18" i="10"/>
  <c r="I17" i="10" s="1"/>
  <c r="H18" i="10"/>
  <c r="H17" i="10" s="1"/>
  <c r="G13" i="10"/>
  <c r="I19" i="10" l="1"/>
  <c r="I58" i="10"/>
  <c r="I69" i="10"/>
  <c r="H19" i="10"/>
  <c r="H58" i="10"/>
  <c r="H60" i="10" s="1"/>
  <c r="H69" i="10"/>
  <c r="P19" i="10"/>
  <c r="P58" i="10"/>
  <c r="P69" i="10"/>
  <c r="K19" i="10"/>
  <c r="K58" i="10"/>
  <c r="K69" i="10"/>
  <c r="O19" i="10"/>
  <c r="O58" i="10"/>
  <c r="O69" i="10"/>
  <c r="H61" i="10" l="1"/>
  <c r="H23" i="10" l="1"/>
  <c r="H63" i="10"/>
  <c r="H71" i="10"/>
  <c r="H72" i="10" s="1"/>
  <c r="H62" i="10"/>
  <c r="I57" i="10" s="1"/>
  <c r="I59" i="10" l="1"/>
  <c r="I60" i="10" s="1"/>
  <c r="H24" i="10"/>
  <c r="H25" i="10" s="1"/>
  <c r="H27" i="10" s="1"/>
  <c r="H29" i="10" s="1"/>
  <c r="I61" i="10" l="1"/>
  <c r="H73" i="10"/>
  <c r="I23" i="10" l="1"/>
  <c r="I63" i="10"/>
  <c r="I71" i="10"/>
  <c r="H32" i="10"/>
  <c r="H75" i="10"/>
  <c r="H74" i="10"/>
  <c r="I68" i="10" s="1"/>
  <c r="I62" i="10"/>
  <c r="J57" i="10" s="1"/>
  <c r="J59" i="10" l="1"/>
  <c r="J60" i="10" s="1"/>
  <c r="I70" i="10"/>
  <c r="I72" i="10" s="1"/>
  <c r="H33" i="10"/>
  <c r="I24" i="10"/>
  <c r="J61" i="10" l="1"/>
  <c r="I25" i="10"/>
  <c r="I27" i="10" s="1"/>
  <c r="I29" i="10" s="1"/>
  <c r="H34" i="10"/>
  <c r="H36" i="10" s="1"/>
  <c r="H40" i="10" l="1"/>
  <c r="J23" i="10"/>
  <c r="J63" i="10"/>
  <c r="J71" i="10"/>
  <c r="J62" i="10"/>
  <c r="K57" i="10" s="1"/>
  <c r="I73" i="10"/>
  <c r="I32" i="10" l="1"/>
  <c r="I75" i="10"/>
  <c r="I74" i="10"/>
  <c r="J68" i="10" s="1"/>
  <c r="K59" i="10"/>
  <c r="K60" i="10" s="1"/>
  <c r="H41" i="10"/>
  <c r="H49" i="10" s="1"/>
  <c r="H48" i="10"/>
  <c r="J24" i="10"/>
  <c r="J25" i="10" s="1"/>
  <c r="J27" i="10" s="1"/>
  <c r="J29" i="10" s="1"/>
  <c r="H42" i="10" l="1"/>
  <c r="H44" i="10" s="1"/>
  <c r="H50" i="10"/>
  <c r="H51" i="10" s="1"/>
  <c r="K61" i="10"/>
  <c r="K62" i="10" s="1"/>
  <c r="L57" i="10" s="1"/>
  <c r="J70" i="10"/>
  <c r="J72" i="10" s="1"/>
  <c r="I33" i="10"/>
  <c r="J73" i="10" l="1"/>
  <c r="J74" i="10" s="1"/>
  <c r="K68" i="10" s="1"/>
  <c r="L59" i="10"/>
  <c r="L60" i="10" s="1"/>
  <c r="I34" i="10"/>
  <c r="I36" i="10" s="1"/>
  <c r="K23" i="10"/>
  <c r="K63" i="10"/>
  <c r="K71" i="10"/>
  <c r="K70" i="10" l="1"/>
  <c r="K72" i="10" s="1"/>
  <c r="K24" i="10"/>
  <c r="K25" i="10" s="1"/>
  <c r="K27" i="10" s="1"/>
  <c r="K29" i="10" s="1"/>
  <c r="I40" i="10"/>
  <c r="J32" i="10"/>
  <c r="J75" i="10"/>
  <c r="L61" i="10"/>
  <c r="K73" i="10" l="1"/>
  <c r="K74" i="10" s="1"/>
  <c r="L68" i="10" s="1"/>
  <c r="L23" i="10"/>
  <c r="L63" i="10"/>
  <c r="L71" i="10"/>
  <c r="L62" i="10"/>
  <c r="M57" i="10" s="1"/>
  <c r="J33" i="10"/>
  <c r="I41" i="10"/>
  <c r="I49" i="10" s="1"/>
  <c r="I48" i="10"/>
  <c r="I42" i="10" l="1"/>
  <c r="I44" i="10" s="1"/>
  <c r="L70" i="10"/>
  <c r="L72" i="10" s="1"/>
  <c r="I50" i="10"/>
  <c r="I51" i="10" s="1"/>
  <c r="M59" i="10"/>
  <c r="M60" i="10" s="1"/>
  <c r="L24" i="10"/>
  <c r="L25" i="10" s="1"/>
  <c r="L27" i="10" s="1"/>
  <c r="L29" i="10" s="1"/>
  <c r="J34" i="10"/>
  <c r="J36" i="10" s="1"/>
  <c r="K32" i="10"/>
  <c r="K75" i="10"/>
  <c r="L73" i="10" l="1"/>
  <c r="J40" i="10"/>
  <c r="K33" i="10"/>
  <c r="M61" i="10"/>
  <c r="M62" i="10" s="1"/>
  <c r="N57" i="10" s="1"/>
  <c r="N59" i="10" l="1"/>
  <c r="N60" i="10" s="1"/>
  <c r="L32" i="10"/>
  <c r="L75" i="10"/>
  <c r="M23" i="10"/>
  <c r="M71" i="10"/>
  <c r="M63" i="10"/>
  <c r="K34" i="10"/>
  <c r="K36" i="10" s="1"/>
  <c r="J41" i="10"/>
  <c r="J49" i="10" s="1"/>
  <c r="J48" i="10"/>
  <c r="L74" i="10"/>
  <c r="M68" i="10" s="1"/>
  <c r="J42" i="10" l="1"/>
  <c r="J44" i="10" s="1"/>
  <c r="M70" i="10"/>
  <c r="M72" i="10" s="1"/>
  <c r="K40" i="10"/>
  <c r="J50" i="10"/>
  <c r="J51" i="10" s="1"/>
  <c r="L33" i="10"/>
  <c r="N61" i="10"/>
  <c r="N62" i="10" s="1"/>
  <c r="O57" i="10" s="1"/>
  <c r="M24" i="10"/>
  <c r="O59" i="10" l="1"/>
  <c r="O60" i="10" s="1"/>
  <c r="L34" i="10"/>
  <c r="L36" i="10" s="1"/>
  <c r="M25" i="10"/>
  <c r="M27" i="10" s="1"/>
  <c r="M29" i="10" s="1"/>
  <c r="N23" i="10"/>
  <c r="N71" i="10"/>
  <c r="N63" i="10"/>
  <c r="K41" i="10"/>
  <c r="K49" i="10" s="1"/>
  <c r="K48" i="10"/>
  <c r="K42" i="10" l="1"/>
  <c r="K44" i="10" s="1"/>
  <c r="N24" i="10"/>
  <c r="N25" i="10" s="1"/>
  <c r="N27" i="10" s="1"/>
  <c r="N29" i="10" s="1"/>
  <c r="K50" i="10"/>
  <c r="K51" i="10" s="1"/>
  <c r="O61" i="10"/>
  <c r="L40" i="10"/>
  <c r="M73" i="10"/>
  <c r="M32" i="10" l="1"/>
  <c r="M75" i="10"/>
  <c r="M74" i="10"/>
  <c r="N68" i="10" s="1"/>
  <c r="L41" i="10"/>
  <c r="L49" i="10" s="1"/>
  <c r="L48" i="10"/>
  <c r="O23" i="10"/>
  <c r="O71" i="10"/>
  <c r="O63" i="10"/>
  <c r="O62" i="10"/>
  <c r="P57" i="10" s="1"/>
  <c r="L42" i="10" l="1"/>
  <c r="L44" i="10" s="1"/>
  <c r="L50" i="10"/>
  <c r="L51" i="10" s="1"/>
  <c r="N70" i="10"/>
  <c r="N72" i="10" s="1"/>
  <c r="M33" i="10"/>
  <c r="M34" i="10" s="1"/>
  <c r="M36" i="10" s="1"/>
  <c r="P59" i="10"/>
  <c r="P60" i="10" s="1"/>
  <c r="O24" i="10"/>
  <c r="O25" i="10" s="1"/>
  <c r="O27" i="10" s="1"/>
  <c r="O29" i="10" s="1"/>
  <c r="P61" i="10" l="1"/>
  <c r="M40" i="10"/>
  <c r="N73" i="10"/>
  <c r="N74" i="10" s="1"/>
  <c r="O68" i="10" s="1"/>
  <c r="O70" i="10" l="1"/>
  <c r="O72" i="10" s="1"/>
  <c r="P23" i="10"/>
  <c r="P71" i="10"/>
  <c r="P63" i="10"/>
  <c r="N32" i="10"/>
  <c r="N75" i="10"/>
  <c r="M41" i="10"/>
  <c r="M49" i="10" s="1"/>
  <c r="M48" i="10"/>
  <c r="P62" i="10"/>
  <c r="Q57" i="10" s="1"/>
  <c r="M50" i="10" l="1"/>
  <c r="M51" i="10" s="1"/>
  <c r="O73" i="10"/>
  <c r="O74" i="10" s="1"/>
  <c r="P68" i="10" s="1"/>
  <c r="M42" i="10"/>
  <c r="M44" i="10" s="1"/>
  <c r="N33" i="10"/>
  <c r="N34" i="10" s="1"/>
  <c r="N36" i="10" s="1"/>
  <c r="P24" i="10"/>
  <c r="Q59" i="10"/>
  <c r="Q60" i="10" s="1"/>
  <c r="Q61" i="10" l="1"/>
  <c r="P70" i="10"/>
  <c r="P72" i="10" s="1"/>
  <c r="P25" i="10"/>
  <c r="P27" i="10" s="1"/>
  <c r="P29" i="10" s="1"/>
  <c r="N40" i="10"/>
  <c r="O32" i="10"/>
  <c r="O75" i="10"/>
  <c r="N41" i="10" l="1"/>
  <c r="N49" i="10" s="1"/>
  <c r="N48" i="10"/>
  <c r="Q23" i="10"/>
  <c r="Q71" i="10"/>
  <c r="Q63" i="10"/>
  <c r="O33" i="10"/>
  <c r="O34" i="10" s="1"/>
  <c r="O36" i="10" s="1"/>
  <c r="P73" i="10"/>
  <c r="Q62" i="10"/>
  <c r="R57" i="10" s="1"/>
  <c r="N50" i="10" l="1"/>
  <c r="N51" i="10" s="1"/>
  <c r="N42" i="10"/>
  <c r="N44" i="10" s="1"/>
  <c r="P32" i="10"/>
  <c r="P75" i="10"/>
  <c r="O40" i="10"/>
  <c r="R59" i="10"/>
  <c r="R60" i="10" s="1"/>
  <c r="Q24" i="10"/>
  <c r="Q25" i="10" s="1"/>
  <c r="Q27" i="10" s="1"/>
  <c r="Q29" i="10" s="1"/>
  <c r="P74" i="10"/>
  <c r="Q68" i="10" s="1"/>
  <c r="R61" i="10" l="1"/>
  <c r="R62" i="10" s="1"/>
  <c r="S57" i="10" s="1"/>
  <c r="Q70" i="10"/>
  <c r="Q72" i="10" s="1"/>
  <c r="O41" i="10"/>
  <c r="O49" i="10" s="1"/>
  <c r="O48" i="10"/>
  <c r="P33" i="10"/>
  <c r="P34" i="10" s="1"/>
  <c r="P36" i="10" s="1"/>
  <c r="S59" i="10" l="1"/>
  <c r="S60" i="10" s="1"/>
  <c r="O50" i="10"/>
  <c r="O51" i="10" s="1"/>
  <c r="P40" i="10"/>
  <c r="O42" i="10"/>
  <c r="O44" i="10" s="1"/>
  <c r="Q73" i="10"/>
  <c r="R23" i="10"/>
  <c r="R71" i="10"/>
  <c r="R63" i="10"/>
  <c r="R24" i="10" l="1"/>
  <c r="R25" i="10" s="1"/>
  <c r="R27" i="10" s="1"/>
  <c r="R29" i="10" s="1"/>
  <c r="S61" i="10"/>
  <c r="S62" i="10" s="1"/>
  <c r="Q32" i="10"/>
  <c r="Q75" i="10"/>
  <c r="Q74" i="10"/>
  <c r="R68" i="10" s="1"/>
  <c r="P41" i="10"/>
  <c r="P49" i="10" s="1"/>
  <c r="P48" i="10"/>
  <c r="P50" i="10" l="1"/>
  <c r="P51" i="10" s="1"/>
  <c r="R70" i="10"/>
  <c r="R72" i="10" s="1"/>
  <c r="Q33" i="10"/>
  <c r="Q34" i="10" s="1"/>
  <c r="Q36" i="10" s="1"/>
  <c r="S23" i="10"/>
  <c r="S71" i="10"/>
  <c r="S63" i="10"/>
  <c r="P42" i="10"/>
  <c r="P44" i="10" s="1"/>
  <c r="T57" i="10"/>
  <c r="T59" i="10" l="1"/>
  <c r="T60" i="10" s="1"/>
  <c r="S24" i="10"/>
  <c r="S25" i="10" s="1"/>
  <c r="R73" i="10"/>
  <c r="R74" i="10" s="1"/>
  <c r="S68" i="10" s="1"/>
  <c r="Q40" i="10"/>
  <c r="S70" i="10" l="1"/>
  <c r="S72" i="10" s="1"/>
  <c r="Q41" i="10"/>
  <c r="Q49" i="10" s="1"/>
  <c r="Q48" i="10"/>
  <c r="R32" i="10"/>
  <c r="R75" i="10"/>
  <c r="T61" i="10"/>
  <c r="Q50" i="10" l="1"/>
  <c r="Q51" i="10" s="1"/>
  <c r="Q42" i="10"/>
  <c r="Q44" i="10" s="1"/>
  <c r="T23" i="10"/>
  <c r="T71" i="10"/>
  <c r="T63" i="10"/>
  <c r="R33" i="10"/>
  <c r="R34" i="10" s="1"/>
  <c r="R36" i="10" s="1"/>
  <c r="T62" i="10"/>
  <c r="U57" i="10" s="1"/>
  <c r="S73" i="10"/>
  <c r="U59" i="10" l="1"/>
  <c r="U60" i="10" s="1"/>
  <c r="S32" i="10"/>
  <c r="S75" i="10"/>
  <c r="R40" i="10"/>
  <c r="S74" i="10"/>
  <c r="T68" i="10" s="1"/>
  <c r="T24" i="10"/>
  <c r="T25" i="10" s="1"/>
  <c r="T70" i="10" l="1"/>
  <c r="T72" i="10" s="1"/>
  <c r="U61" i="10"/>
  <c r="R41" i="10"/>
  <c r="R49" i="10" s="1"/>
  <c r="R48" i="10"/>
  <c r="S33" i="10"/>
  <c r="S34" i="10" s="1"/>
  <c r="S36" i="10" s="1"/>
  <c r="R50" i="10" l="1"/>
  <c r="R51" i="10" s="1"/>
  <c r="R42" i="10"/>
  <c r="R44" i="10" s="1"/>
  <c r="S40" i="10"/>
  <c r="T73" i="10"/>
  <c r="U23" i="10"/>
  <c r="U71" i="10"/>
  <c r="U63" i="10"/>
  <c r="U62" i="10"/>
  <c r="V57" i="10" s="1"/>
  <c r="U24" i="10" l="1"/>
  <c r="T32" i="10"/>
  <c r="T75" i="10"/>
  <c r="S41" i="10"/>
  <c r="S49" i="10" s="1"/>
  <c r="S48" i="10"/>
  <c r="V59" i="10"/>
  <c r="V60" i="10" s="1"/>
  <c r="T74" i="10"/>
  <c r="U68" i="10" s="1"/>
  <c r="S50" i="10" l="1"/>
  <c r="S51" i="10" s="1"/>
  <c r="V61" i="10"/>
  <c r="U70" i="10"/>
  <c r="U72" i="10" s="1"/>
  <c r="S42" i="10"/>
  <c r="S44" i="10" s="1"/>
  <c r="T33" i="10"/>
  <c r="T34" i="10" s="1"/>
  <c r="T36" i="10" s="1"/>
  <c r="U25" i="10"/>
  <c r="U73" i="10" l="1"/>
  <c r="V23" i="10"/>
  <c r="V71" i="10"/>
  <c r="V63" i="10"/>
  <c r="T40" i="10"/>
  <c r="V62" i="10"/>
  <c r="W57" i="10" s="1"/>
  <c r="W59" i="10" l="1"/>
  <c r="W60" i="10" s="1"/>
  <c r="T41" i="10"/>
  <c r="T49" i="10" s="1"/>
  <c r="T48" i="10"/>
  <c r="V24" i="10"/>
  <c r="U32" i="10"/>
  <c r="U75" i="10"/>
  <c r="U74" i="10"/>
  <c r="V68" i="10" s="1"/>
  <c r="T50" i="10" l="1"/>
  <c r="T51" i="10" s="1"/>
  <c r="W61" i="10"/>
  <c r="U33" i="10"/>
  <c r="V70" i="10"/>
  <c r="V72" i="10" s="1"/>
  <c r="V25" i="10"/>
  <c r="T42" i="10"/>
  <c r="T44" i="10" s="1"/>
  <c r="V73" i="10" l="1"/>
  <c r="U34" i="10"/>
  <c r="U36" i="10" s="1"/>
  <c r="W23" i="10"/>
  <c r="W63" i="10"/>
  <c r="W71" i="10"/>
  <c r="W62" i="10"/>
  <c r="X57" i="10" s="1"/>
  <c r="X59" i="10" l="1"/>
  <c r="X60" i="10" s="1"/>
  <c r="V32" i="10"/>
  <c r="V75" i="10"/>
  <c r="W24" i="10"/>
  <c r="W25" i="10" s="1"/>
  <c r="U40" i="10"/>
  <c r="V74" i="10"/>
  <c r="W68" i="10" s="1"/>
  <c r="X61" i="10" l="1"/>
  <c r="W70" i="10"/>
  <c r="W72" i="10" s="1"/>
  <c r="U41" i="10"/>
  <c r="U49" i="10" s="1"/>
  <c r="U48" i="10"/>
  <c r="V33" i="10"/>
  <c r="V34" i="10" s="1"/>
  <c r="V36" i="10" s="1"/>
  <c r="U50" i="10" l="1"/>
  <c r="U51" i="10" s="1"/>
  <c r="W73" i="10"/>
  <c r="X23" i="10"/>
  <c r="X63" i="10"/>
  <c r="X71" i="10"/>
  <c r="V40" i="10"/>
  <c r="U42" i="10"/>
  <c r="U44" i="10" s="1"/>
  <c r="X62" i="10"/>
  <c r="Y57" i="10" s="1"/>
  <c r="V41" i="10" l="1"/>
  <c r="V49" i="10" s="1"/>
  <c r="V48" i="10"/>
  <c r="W32" i="10"/>
  <c r="W75" i="10"/>
  <c r="Y59" i="10"/>
  <c r="Y60" i="10" s="1"/>
  <c r="X24" i="10"/>
  <c r="W74" i="10"/>
  <c r="X68" i="10" s="1"/>
  <c r="V50" i="10" l="1"/>
  <c r="V51" i="10" s="1"/>
  <c r="V42" i="10"/>
  <c r="V44" i="10" s="1"/>
  <c r="Y61" i="10"/>
  <c r="Y62" i="10" s="1"/>
  <c r="Z57" i="10" s="1"/>
  <c r="X70" i="10"/>
  <c r="X72" i="10" s="1"/>
  <c r="X25" i="10"/>
  <c r="W33" i="10"/>
  <c r="X73" i="10" l="1"/>
  <c r="Z59" i="10"/>
  <c r="Z60" i="10" s="1"/>
  <c r="W34" i="10"/>
  <c r="W36" i="10" s="1"/>
  <c r="Y23" i="10"/>
  <c r="Y63" i="10"/>
  <c r="Y71" i="10"/>
  <c r="Z61" i="10" l="1"/>
  <c r="Z62" i="10" s="1"/>
  <c r="AA57" i="10" s="1"/>
  <c r="Y24" i="10"/>
  <c r="Y25" i="10" s="1"/>
  <c r="W40" i="10"/>
  <c r="X32" i="10"/>
  <c r="X75" i="10"/>
  <c r="X74" i="10"/>
  <c r="Y68" i="10" s="1"/>
  <c r="W41" i="10" l="1"/>
  <c r="W49" i="10" s="1"/>
  <c r="W48" i="10"/>
  <c r="X33" i="10"/>
  <c r="AA59" i="10"/>
  <c r="AA60" i="10" s="1"/>
  <c r="Y70" i="10"/>
  <c r="Y72" i="10" s="1"/>
  <c r="Z23" i="10"/>
  <c r="Z71" i="10"/>
  <c r="Z63" i="10"/>
  <c r="W50" i="10" l="1"/>
  <c r="W51" i="10" s="1"/>
  <c r="W42" i="10"/>
  <c r="W44" i="10" s="1"/>
  <c r="Y73" i="10"/>
  <c r="AA61" i="10"/>
  <c r="Z24" i="10"/>
  <c r="Z25" i="10" s="1"/>
  <c r="X34" i="10"/>
  <c r="X36" i="10" s="1"/>
  <c r="X40" i="10" l="1"/>
  <c r="AA23" i="10"/>
  <c r="AA71" i="10"/>
  <c r="AA63" i="10"/>
  <c r="AA62" i="10"/>
  <c r="AB57" i="10" s="1"/>
  <c r="Y32" i="10"/>
  <c r="Y75" i="10"/>
  <c r="Y74" i="10"/>
  <c r="Z68" i="10" s="1"/>
  <c r="Y33" i="10" l="1"/>
  <c r="Z70" i="10"/>
  <c r="Z72" i="10" s="1"/>
  <c r="AB59" i="10"/>
  <c r="AB60" i="10" s="1"/>
  <c r="AA24" i="10"/>
  <c r="AA25" i="10" s="1"/>
  <c r="X41" i="10"/>
  <c r="X49" i="10" s="1"/>
  <c r="X48" i="10"/>
  <c r="X50" i="10" l="1"/>
  <c r="X51" i="10" s="1"/>
  <c r="X42" i="10"/>
  <c r="X44" i="10" s="1"/>
  <c r="AB61" i="10"/>
  <c r="AB62" i="10" s="1"/>
  <c r="AC57" i="10" s="1"/>
  <c r="Z73" i="10"/>
  <c r="Y34" i="10"/>
  <c r="Y36" i="10" s="1"/>
  <c r="AC59" i="10" l="1"/>
  <c r="AC60" i="10" s="1"/>
  <c r="Y40" i="10"/>
  <c r="Z32" i="10"/>
  <c r="Z75" i="10"/>
  <c r="Z74" i="10"/>
  <c r="AA68" i="10" s="1"/>
  <c r="AB23" i="10"/>
  <c r="AB63" i="10"/>
  <c r="AB71" i="10"/>
  <c r="AC61" i="10" l="1"/>
  <c r="AB24" i="10"/>
  <c r="AB25" i="10" s="1"/>
  <c r="AA70" i="10"/>
  <c r="AA72" i="10" s="1"/>
  <c r="Z33" i="10"/>
  <c r="Z34" i="10" s="1"/>
  <c r="Z36" i="10" s="1"/>
  <c r="Y41" i="10"/>
  <c r="Y49" i="10" s="1"/>
  <c r="Y48" i="10"/>
  <c r="Y50" i="10" l="1"/>
  <c r="Y51" i="10" s="1"/>
  <c r="Y42" i="10"/>
  <c r="Y44" i="10" s="1"/>
  <c r="AA73" i="10"/>
  <c r="AA74" i="10" s="1"/>
  <c r="AB68" i="10" s="1"/>
  <c r="Z40" i="10"/>
  <c r="AC23" i="10"/>
  <c r="AC63" i="10"/>
  <c r="AC71" i="10"/>
  <c r="AC62" i="10"/>
  <c r="AD57" i="10" s="1"/>
  <c r="AC24" i="10" l="1"/>
  <c r="AC25" i="10" s="1"/>
  <c r="AD59" i="10"/>
  <c r="AD60" i="10" s="1"/>
  <c r="AB70" i="10"/>
  <c r="AB72" i="10" s="1"/>
  <c r="Z41" i="10"/>
  <c r="Z49" i="10" s="1"/>
  <c r="Z48" i="10"/>
  <c r="AA32" i="10"/>
  <c r="AA75" i="10"/>
  <c r="Z50" i="10" l="1"/>
  <c r="Z51" i="10" s="1"/>
  <c r="Z42" i="10"/>
  <c r="Z44" i="10" s="1"/>
  <c r="AB73" i="10"/>
  <c r="AB74" i="10" s="1"/>
  <c r="AC68" i="10" s="1"/>
  <c r="AD61" i="10"/>
  <c r="AA33" i="10"/>
  <c r="AA34" i="10" s="1"/>
  <c r="AA36" i="10" s="1"/>
  <c r="AA40" i="10" l="1"/>
  <c r="AC70" i="10"/>
  <c r="AC72" i="10" s="1"/>
  <c r="AD23" i="10"/>
  <c r="AD63" i="10"/>
  <c r="AD71" i="10"/>
  <c r="AD62" i="10"/>
  <c r="AE57" i="10" s="1"/>
  <c r="AB32" i="10"/>
  <c r="AB75" i="10"/>
  <c r="AE59" i="10" l="1"/>
  <c r="AE60" i="10" s="1"/>
  <c r="AC73" i="10"/>
  <c r="AC74" i="10" s="1"/>
  <c r="AD68" i="10" s="1"/>
  <c r="AB33" i="10"/>
  <c r="AB34" i="10" s="1"/>
  <c r="AB36" i="10" s="1"/>
  <c r="AD24" i="10"/>
  <c r="AD25" i="10" s="1"/>
  <c r="AA41" i="10"/>
  <c r="AA49" i="10" s="1"/>
  <c r="AA48" i="10"/>
  <c r="AA50" i="10" l="1"/>
  <c r="AA51" i="10" s="1"/>
  <c r="AE61" i="10"/>
  <c r="AA42" i="10"/>
  <c r="AA44" i="10" s="1"/>
  <c r="AB40" i="10"/>
  <c r="AD70" i="10"/>
  <c r="AD72" i="10" s="1"/>
  <c r="AC32" i="10"/>
  <c r="AC75" i="10"/>
  <c r="AD73" i="10" l="1"/>
  <c r="AD74" i="10" s="1"/>
  <c r="AE68" i="10" s="1"/>
  <c r="AC33" i="10"/>
  <c r="AC34" i="10" s="1"/>
  <c r="AC36" i="10" s="1"/>
  <c r="AB41" i="10"/>
  <c r="AB49" i="10" s="1"/>
  <c r="AB48" i="10"/>
  <c r="AE23" i="10"/>
  <c r="AE63" i="10"/>
  <c r="AE71" i="10"/>
  <c r="AE62" i="10"/>
  <c r="AF57" i="10" s="1"/>
  <c r="AB50" i="10" l="1"/>
  <c r="AB51" i="10" s="1"/>
  <c r="AB42" i="10"/>
  <c r="AB44" i="10" s="1"/>
  <c r="AE70" i="10"/>
  <c r="AE72" i="10" s="1"/>
  <c r="AF59" i="10"/>
  <c r="AF60" i="10" s="1"/>
  <c r="AE24" i="10"/>
  <c r="AE25" i="10" s="1"/>
  <c r="AC40" i="10"/>
  <c r="AD32" i="10"/>
  <c r="AD75" i="10"/>
  <c r="AF61" i="10" l="1"/>
  <c r="AE73" i="10"/>
  <c r="AD33" i="10"/>
  <c r="AD34" i="10" s="1"/>
  <c r="AD36" i="10" s="1"/>
  <c r="AC41" i="10"/>
  <c r="AC49" i="10" s="1"/>
  <c r="AC48" i="10"/>
  <c r="AC50" i="10" l="1"/>
  <c r="AC51" i="10" s="1"/>
  <c r="AC42" i="10"/>
  <c r="AC44" i="10" s="1"/>
  <c r="AE32" i="10"/>
  <c r="AE75" i="10"/>
  <c r="AD40" i="10"/>
  <c r="AE74" i="10"/>
  <c r="AF68" i="10" s="1"/>
  <c r="AF23" i="10"/>
  <c r="AF63" i="10"/>
  <c r="AF71" i="10"/>
  <c r="AF62" i="10"/>
  <c r="AG57" i="10" s="1"/>
  <c r="AG59" i="10" l="1"/>
  <c r="AG60" i="10" s="1"/>
  <c r="AF70" i="10"/>
  <c r="AF72" i="10" s="1"/>
  <c r="AF24" i="10"/>
  <c r="AF25" i="10" s="1"/>
  <c r="AD41" i="10"/>
  <c r="AD49" i="10" s="1"/>
  <c r="AD48" i="10"/>
  <c r="AE33" i="10"/>
  <c r="AE34" i="10" s="1"/>
  <c r="AE36" i="10" s="1"/>
  <c r="AD50" i="10" l="1"/>
  <c r="AD51" i="10" s="1"/>
  <c r="AD42" i="10"/>
  <c r="AD44" i="10" s="1"/>
  <c r="AE40" i="10"/>
  <c r="AF73" i="10"/>
  <c r="AG61" i="10"/>
  <c r="AG62" i="10" s="1"/>
  <c r="AH57" i="10" s="1"/>
  <c r="AF32" i="10" l="1"/>
  <c r="AF75" i="10"/>
  <c r="AH59" i="10"/>
  <c r="AH60" i="10" s="1"/>
  <c r="AG23" i="10"/>
  <c r="AG71" i="10"/>
  <c r="AG63" i="10"/>
  <c r="AF74" i="10"/>
  <c r="AG68" i="10" s="1"/>
  <c r="AE41" i="10"/>
  <c r="AE49" i="10" s="1"/>
  <c r="AE48" i="10"/>
  <c r="AE42" i="10" l="1"/>
  <c r="AE44" i="10" s="1"/>
  <c r="AE50" i="10"/>
  <c r="AE51" i="10" s="1"/>
  <c r="AG70" i="10"/>
  <c r="AG72" i="10" s="1"/>
  <c r="AH61" i="10"/>
  <c r="AG24" i="10"/>
  <c r="AG25" i="10" s="1"/>
  <c r="AF33" i="10"/>
  <c r="AF34" i="10" s="1"/>
  <c r="AF36" i="10" s="1"/>
  <c r="AF40" i="10" l="1"/>
  <c r="AG73" i="10"/>
  <c r="AH23" i="10"/>
  <c r="AH71" i="10"/>
  <c r="AH63" i="10"/>
  <c r="AH62" i="10"/>
  <c r="AI57" i="10" s="1"/>
  <c r="AH24" i="10" l="1"/>
  <c r="AH25" i="10" s="1"/>
  <c r="AI59" i="10"/>
  <c r="AI60" i="10" s="1"/>
  <c r="AG32" i="10"/>
  <c r="AG75" i="10"/>
  <c r="AG74" i="10"/>
  <c r="AH68" i="10" s="1"/>
  <c r="AF41" i="10"/>
  <c r="AF49" i="10" s="1"/>
  <c r="AF48" i="10"/>
  <c r="AF50" i="10" l="1"/>
  <c r="AF51" i="10" s="1"/>
  <c r="AF42" i="10"/>
  <c r="AF44" i="10" s="1"/>
  <c r="AI61" i="10"/>
  <c r="AH70" i="10"/>
  <c r="AH72" i="10" s="1"/>
  <c r="AG33" i="10"/>
  <c r="AH73" i="10" l="1"/>
  <c r="AI23" i="10"/>
  <c r="AI71" i="10"/>
  <c r="AI63" i="10"/>
  <c r="AG34" i="10"/>
  <c r="AG36" i="10" s="1"/>
  <c r="AI62" i="10"/>
  <c r="AJ57" i="10" s="1"/>
  <c r="AJ59" i="10" l="1"/>
  <c r="AJ60" i="10" s="1"/>
  <c r="AH32" i="10"/>
  <c r="AH75" i="10"/>
  <c r="AG40" i="10"/>
  <c r="AI24" i="10"/>
  <c r="AI25" i="10" s="1"/>
  <c r="AH74" i="10"/>
  <c r="AI68" i="10" s="1"/>
  <c r="AJ61" i="10" l="1"/>
  <c r="AI70" i="10"/>
  <c r="AI72" i="10" s="1"/>
  <c r="AG41" i="10"/>
  <c r="AG49" i="10" s="1"/>
  <c r="AG48" i="10"/>
  <c r="AH33" i="10"/>
  <c r="AH34" i="10" s="1"/>
  <c r="AH36" i="10" s="1"/>
  <c r="AG50" i="10" l="1"/>
  <c r="AG51" i="10" s="1"/>
  <c r="AG42" i="10"/>
  <c r="AG44" i="10" s="1"/>
  <c r="AH40" i="10"/>
  <c r="AI73" i="10"/>
  <c r="AJ23" i="10"/>
  <c r="AJ71" i="10"/>
  <c r="AJ63" i="10"/>
  <c r="AJ62" i="10"/>
  <c r="AK57" i="10" s="1"/>
  <c r="AI32" i="10" l="1"/>
  <c r="AI75" i="10"/>
  <c r="AK59" i="10"/>
  <c r="AK60" i="10" s="1"/>
  <c r="AJ24" i="10"/>
  <c r="AJ25" i="10" s="1"/>
  <c r="AI74" i="10"/>
  <c r="AJ68" i="10" s="1"/>
  <c r="AH41" i="10"/>
  <c r="AH49" i="10" s="1"/>
  <c r="AH48" i="10"/>
  <c r="AH50" i="10" l="1"/>
  <c r="AH51" i="10" s="1"/>
  <c r="AH42" i="10"/>
  <c r="AH44" i="10" s="1"/>
  <c r="AK61" i="10"/>
  <c r="AJ70" i="10"/>
  <c r="AJ72" i="10" s="1"/>
  <c r="AI33" i="10"/>
  <c r="AI34" i="10" s="1"/>
  <c r="AI36" i="10" s="1"/>
  <c r="AI40" i="10" l="1"/>
  <c r="AJ73" i="10"/>
  <c r="AJ74" i="10" s="1"/>
  <c r="AK68" i="10" s="1"/>
  <c r="AK23" i="10"/>
  <c r="AK71" i="10"/>
  <c r="AK63" i="10"/>
  <c r="AK62" i="10"/>
  <c r="AL57" i="10" s="1"/>
  <c r="AK70" i="10" l="1"/>
  <c r="AK72" i="10" s="1"/>
  <c r="AL59" i="10"/>
  <c r="AL60" i="10" s="1"/>
  <c r="AK24" i="10"/>
  <c r="AK25" i="10" s="1"/>
  <c r="AJ32" i="10"/>
  <c r="AJ75" i="10"/>
  <c r="AI41" i="10"/>
  <c r="AI49" i="10" s="1"/>
  <c r="AI48" i="10"/>
  <c r="AI42" i="10" l="1"/>
  <c r="AI44" i="10" s="1"/>
  <c r="AK73" i="10"/>
  <c r="AI50" i="10"/>
  <c r="AI51" i="10" s="1"/>
  <c r="AJ33" i="10"/>
  <c r="AL61" i="10"/>
  <c r="AL23" i="10" l="1"/>
  <c r="AL63" i="10"/>
  <c r="AL71" i="10"/>
  <c r="AL62" i="10"/>
  <c r="AM57" i="10" s="1"/>
  <c r="AJ34" i="10"/>
  <c r="AJ36" i="10" s="1"/>
  <c r="AK32" i="10"/>
  <c r="AK75" i="10"/>
  <c r="AK74" i="10"/>
  <c r="AL68" i="10" s="1"/>
  <c r="AL70" i="10" l="1"/>
  <c r="AL72" i="10" s="1"/>
  <c r="AK33" i="10"/>
  <c r="AK34" i="10" s="1"/>
  <c r="AK36" i="10" s="1"/>
  <c r="AJ40" i="10"/>
  <c r="AM59" i="10"/>
  <c r="AM60" i="10" s="1"/>
  <c r="AL24" i="10"/>
  <c r="AL25" i="10" s="1"/>
  <c r="AM61" i="10" l="1"/>
  <c r="AK40" i="10"/>
  <c r="AJ41" i="10"/>
  <c r="AJ49" i="10" s="1"/>
  <c r="AJ48" i="10"/>
  <c r="AL73" i="10"/>
  <c r="AJ50" i="10" l="1"/>
  <c r="AJ51" i="10" s="1"/>
  <c r="AJ42" i="10"/>
  <c r="AJ44" i="10" s="1"/>
  <c r="AL32" i="10"/>
  <c r="AL75" i="10"/>
  <c r="AL74" i="10"/>
  <c r="AM68" i="10" s="1"/>
  <c r="AM23" i="10"/>
  <c r="AM63" i="10"/>
  <c r="AM71" i="10"/>
  <c r="AK41" i="10"/>
  <c r="AK49" i="10" s="1"/>
  <c r="AK48" i="10"/>
  <c r="AM62" i="10"/>
  <c r="AN57" i="10" s="1"/>
  <c r="AK50" i="10" l="1"/>
  <c r="AK51" i="10" s="1"/>
  <c r="AK42" i="10"/>
  <c r="AK44" i="10" s="1"/>
  <c r="AN59" i="10"/>
  <c r="AN60" i="10" s="1"/>
  <c r="AM24" i="10"/>
  <c r="AM25" i="10" s="1"/>
  <c r="AM70" i="10"/>
  <c r="AM72" i="10" s="1"/>
  <c r="AL33" i="10"/>
  <c r="AL34" i="10" s="1"/>
  <c r="AL36" i="10" s="1"/>
  <c r="AM73" i="10" l="1"/>
  <c r="AL40" i="10"/>
  <c r="AN61" i="10"/>
  <c r="AN62" i="10" s="1"/>
  <c r="AO57" i="10" s="1"/>
  <c r="AO59" i="10" l="1"/>
  <c r="AO60" i="10" s="1"/>
  <c r="AN23" i="10"/>
  <c r="AN63" i="10"/>
  <c r="AN71" i="10"/>
  <c r="AL41" i="10"/>
  <c r="AL49" i="10" s="1"/>
  <c r="AL48" i="10"/>
  <c r="AM32" i="10"/>
  <c r="AM75" i="10"/>
  <c r="AM74" i="10"/>
  <c r="AN68" i="10" s="1"/>
  <c r="AL50" i="10" l="1"/>
  <c r="AL51" i="10" s="1"/>
  <c r="AL42" i="10"/>
  <c r="AL44" i="10" s="1"/>
  <c r="AM33" i="10"/>
  <c r="AM34" i="10" s="1"/>
  <c r="AM36" i="10" s="1"/>
  <c r="AN70" i="10"/>
  <c r="AN72" i="10" s="1"/>
  <c r="AO61" i="10"/>
  <c r="AN24" i="10"/>
  <c r="AO23" i="10" l="1"/>
  <c r="AO63" i="10"/>
  <c r="AO71" i="10"/>
  <c r="AO62" i="10"/>
  <c r="AP57" i="10" s="1"/>
  <c r="AM40" i="10"/>
  <c r="AN25" i="10"/>
  <c r="AN73" i="10"/>
  <c r="AN32" i="10" l="1"/>
  <c r="AN75" i="10"/>
  <c r="AO24" i="10"/>
  <c r="AN74" i="10"/>
  <c r="AO68" i="10" s="1"/>
  <c r="AM41" i="10"/>
  <c r="AM49" i="10" s="1"/>
  <c r="AM48" i="10"/>
  <c r="AP59" i="10"/>
  <c r="AP60" i="10" s="1"/>
  <c r="AM50" i="10" l="1"/>
  <c r="AM51" i="10" s="1"/>
  <c r="AP61" i="10"/>
  <c r="AM42" i="10"/>
  <c r="AM44" i="10" s="1"/>
  <c r="AO70" i="10"/>
  <c r="AO72" i="10" s="1"/>
  <c r="AO25" i="10"/>
  <c r="AN33" i="10"/>
  <c r="AN34" i="10" s="1"/>
  <c r="AN36" i="10" s="1"/>
  <c r="AN40" i="10" l="1"/>
  <c r="AO73" i="10"/>
  <c r="AP23" i="10"/>
  <c r="AP63" i="10"/>
  <c r="AP71" i="10"/>
  <c r="AP62" i="10"/>
  <c r="AQ57" i="10" s="1"/>
  <c r="AQ59" i="10" l="1"/>
  <c r="AQ60" i="10" s="1"/>
  <c r="AP24" i="10"/>
  <c r="AN41" i="10"/>
  <c r="AN49" i="10" s="1"/>
  <c r="AN48" i="10"/>
  <c r="AO32" i="10"/>
  <c r="AO75" i="10"/>
  <c r="AO74" i="10"/>
  <c r="AP68" i="10" s="1"/>
  <c r="AN50" i="10" l="1"/>
  <c r="AN51" i="10" s="1"/>
  <c r="AQ61" i="10"/>
  <c r="AP70" i="10"/>
  <c r="AP72" i="10" s="1"/>
  <c r="AO33" i="10"/>
  <c r="AO34" i="10" s="1"/>
  <c r="AO36" i="10" s="1"/>
  <c r="AN42" i="10"/>
  <c r="AN44" i="10" s="1"/>
  <c r="AP25" i="10"/>
  <c r="AO40" i="10" l="1"/>
  <c r="AP73" i="10"/>
  <c r="AQ23" i="10"/>
  <c r="AQ63" i="10"/>
  <c r="AQ71" i="10"/>
  <c r="AQ62" i="10"/>
  <c r="AR57" i="10" s="1"/>
  <c r="AR59" i="10" l="1"/>
  <c r="AR60" i="10" s="1"/>
  <c r="AQ24" i="10"/>
  <c r="AQ25" i="10" s="1"/>
  <c r="AP32" i="10"/>
  <c r="AP75" i="10"/>
  <c r="AP74" i="10"/>
  <c r="AQ68" i="10" s="1"/>
  <c r="AO41" i="10"/>
  <c r="AO49" i="10" s="1"/>
  <c r="AO48" i="10"/>
  <c r="AO50" i="10" l="1"/>
  <c r="AO51" i="10" s="1"/>
  <c r="AR61" i="10"/>
  <c r="AO42" i="10"/>
  <c r="AO44" i="10" s="1"/>
  <c r="AP33" i="10"/>
  <c r="AP34" i="10" s="1"/>
  <c r="AP36" i="10" s="1"/>
  <c r="AQ70" i="10"/>
  <c r="AQ72" i="10" s="1"/>
  <c r="AQ73" i="10" l="1"/>
  <c r="AP40" i="10"/>
  <c r="AR23" i="10"/>
  <c r="AR63" i="10"/>
  <c r="AR71" i="10"/>
  <c r="AR62" i="10"/>
  <c r="AS57" i="10" s="1"/>
  <c r="AR24" i="10" l="1"/>
  <c r="AR25" i="10" s="1"/>
  <c r="AS59" i="10"/>
  <c r="AS60" i="10" s="1"/>
  <c r="AP41" i="10"/>
  <c r="AP49" i="10" s="1"/>
  <c r="AP48" i="10"/>
  <c r="AQ32" i="10"/>
  <c r="AQ75" i="10"/>
  <c r="AQ74" i="10"/>
  <c r="AR68" i="10" s="1"/>
  <c r="AP50" i="10" l="1"/>
  <c r="AP51" i="10" s="1"/>
  <c r="AP42" i="10"/>
  <c r="AP44" i="10" s="1"/>
  <c r="AS61" i="10"/>
  <c r="AR70" i="10"/>
  <c r="AR72" i="10" s="1"/>
  <c r="AQ33" i="10"/>
  <c r="AQ34" i="10" s="1"/>
  <c r="AQ36" i="10" s="1"/>
  <c r="AR73" i="10" l="1"/>
  <c r="AQ40" i="10"/>
  <c r="AS23" i="10"/>
  <c r="AS63" i="10"/>
  <c r="AS71" i="10"/>
  <c r="AS62" i="10"/>
  <c r="AT57" i="10" s="1"/>
  <c r="AT59" i="10" l="1"/>
  <c r="AT60" i="10" s="1"/>
  <c r="AS24" i="10"/>
  <c r="AS25" i="10" s="1"/>
  <c r="AQ41" i="10"/>
  <c r="AQ49" i="10" s="1"/>
  <c r="AQ48" i="10"/>
  <c r="AR32" i="10"/>
  <c r="AR75" i="10"/>
  <c r="AR74" i="10"/>
  <c r="AS68" i="10" s="1"/>
  <c r="AQ50" i="10" l="1"/>
  <c r="AQ51" i="10" s="1"/>
  <c r="AQ42" i="10"/>
  <c r="AQ44" i="10" s="1"/>
  <c r="AT61" i="10"/>
  <c r="AT62" i="10" s="1"/>
  <c r="AU57" i="10" s="1"/>
  <c r="AS70" i="10"/>
  <c r="AS72" i="10" s="1"/>
  <c r="AR33" i="10"/>
  <c r="AR34" i="10" s="1"/>
  <c r="AR36" i="10" s="1"/>
  <c r="AS73" i="10" l="1"/>
  <c r="AR40" i="10"/>
  <c r="AU59" i="10"/>
  <c r="AU60" i="10" s="1"/>
  <c r="AT23" i="10"/>
  <c r="AT71" i="10"/>
  <c r="AT63" i="10"/>
  <c r="AU61" i="10" l="1"/>
  <c r="AU62" i="10" s="1"/>
  <c r="AV57" i="10" s="1"/>
  <c r="AT24" i="10"/>
  <c r="AT25" i="10" s="1"/>
  <c r="AR41" i="10"/>
  <c r="AR49" i="10" s="1"/>
  <c r="AR48" i="10"/>
  <c r="AS32" i="10"/>
  <c r="AS75" i="10"/>
  <c r="AS74" i="10"/>
  <c r="AT68" i="10" s="1"/>
  <c r="AR50" i="10" l="1"/>
  <c r="AR51" i="10" s="1"/>
  <c r="AR42" i="10"/>
  <c r="AR44" i="10" s="1"/>
  <c r="AS33" i="10"/>
  <c r="AV59" i="10"/>
  <c r="AV60" i="10" s="1"/>
  <c r="AT70" i="10"/>
  <c r="AT72" i="10" s="1"/>
  <c r="AU23" i="10"/>
  <c r="AU71" i="10"/>
  <c r="AU63" i="10"/>
  <c r="AT73" i="10" l="1"/>
  <c r="AV61" i="10"/>
  <c r="AV62" i="10" s="1"/>
  <c r="AW57" i="10" s="1"/>
  <c r="AU24" i="10"/>
  <c r="AU25" i="10" s="1"/>
  <c r="AS34" i="10"/>
  <c r="AS36" i="10" s="1"/>
  <c r="AW59" i="10" l="1"/>
  <c r="AW60" i="10" s="1"/>
  <c r="AS40" i="10"/>
  <c r="AV23" i="10"/>
  <c r="AV63" i="10"/>
  <c r="AV71" i="10"/>
  <c r="AT32" i="10"/>
  <c r="AT75" i="10"/>
  <c r="AT74" i="10"/>
  <c r="AU68" i="10" s="1"/>
  <c r="AW61" i="10" l="1"/>
  <c r="AW62" i="10" s="1"/>
  <c r="AX57" i="10" s="1"/>
  <c r="AU70" i="10"/>
  <c r="AU72" i="10" s="1"/>
  <c r="AT33" i="10"/>
  <c r="AT34" i="10" s="1"/>
  <c r="AT36" i="10" s="1"/>
  <c r="AV24" i="10"/>
  <c r="AV25" i="10" s="1"/>
  <c r="AS41" i="10"/>
  <c r="AS49" i="10" s="1"/>
  <c r="AS48" i="10"/>
  <c r="AS42" i="10" l="1"/>
  <c r="AS44" i="10" s="1"/>
  <c r="AS50" i="10"/>
  <c r="AS51" i="10" s="1"/>
  <c r="AU73" i="10"/>
  <c r="AU74" i="10" s="1"/>
  <c r="AV68" i="10" s="1"/>
  <c r="AX59" i="10"/>
  <c r="AX60" i="10" s="1"/>
  <c r="AT40" i="10"/>
  <c r="AW23" i="10"/>
  <c r="AW63" i="10"/>
  <c r="AW71" i="10"/>
  <c r="AX61" i="10" l="1"/>
  <c r="AT41" i="10"/>
  <c r="AT49" i="10" s="1"/>
  <c r="AT48" i="10"/>
  <c r="AW24" i="10"/>
  <c r="AW25" i="10" s="1"/>
  <c r="AV70" i="10"/>
  <c r="AV72" i="10" s="1"/>
  <c r="AU32" i="10"/>
  <c r="AU75" i="10"/>
  <c r="AT50" i="10" l="1"/>
  <c r="AT51" i="10" s="1"/>
  <c r="AT42" i="10"/>
  <c r="AT44" i="10" s="1"/>
  <c r="AV73" i="10"/>
  <c r="AV74" i="10" s="1"/>
  <c r="AW68" i="10" s="1"/>
  <c r="AU33" i="10"/>
  <c r="AX23" i="10"/>
  <c r="AX63" i="10"/>
  <c r="AX71" i="10"/>
  <c r="AX62" i="10"/>
  <c r="AY57" i="10" s="1"/>
  <c r="AY59" i="10" l="1"/>
  <c r="AY60" i="10" s="1"/>
  <c r="AW70" i="10"/>
  <c r="AW72" i="10" s="1"/>
  <c r="AX24" i="10"/>
  <c r="AX25" i="10" s="1"/>
  <c r="AU34" i="10"/>
  <c r="AU36" i="10" s="1"/>
  <c r="AV32" i="10"/>
  <c r="AV75" i="10"/>
  <c r="AY61" i="10" l="1"/>
  <c r="AV33" i="10"/>
  <c r="AV34" i="10" s="1"/>
  <c r="AV36" i="10" s="1"/>
  <c r="AU40" i="10"/>
  <c r="AW73" i="10"/>
  <c r="AW74" i="10" s="1"/>
  <c r="AX68" i="10" s="1"/>
  <c r="AX70" i="10" l="1"/>
  <c r="AX72" i="10" s="1"/>
  <c r="AU41" i="10"/>
  <c r="AU49" i="10" s="1"/>
  <c r="AU48" i="10"/>
  <c r="AV40" i="10"/>
  <c r="AW32" i="10"/>
  <c r="AW75" i="10"/>
  <c r="AY23" i="10"/>
  <c r="AY63" i="10"/>
  <c r="AY71" i="10"/>
  <c r="AY62" i="10"/>
  <c r="AZ57" i="10" s="1"/>
  <c r="AU42" i="10" l="1"/>
  <c r="AU44" i="10" s="1"/>
  <c r="AU50" i="10"/>
  <c r="AU51" i="10" s="1"/>
  <c r="AX73" i="10"/>
  <c r="AX74" i="10" s="1"/>
  <c r="AY68" i="10" s="1"/>
  <c r="AY24" i="10"/>
  <c r="AY25" i="10" s="1"/>
  <c r="AW33" i="10"/>
  <c r="AW34" i="10" s="1"/>
  <c r="AW36" i="10" s="1"/>
  <c r="AV41" i="10"/>
  <c r="AV49" i="10" s="1"/>
  <c r="AV48" i="10"/>
  <c r="AZ59" i="10"/>
  <c r="AZ60" i="10" s="1"/>
  <c r="AV50" i="10" l="1"/>
  <c r="AV51" i="10" s="1"/>
  <c r="AV42" i="10"/>
  <c r="AV44" i="10" s="1"/>
  <c r="AZ61" i="10"/>
  <c r="AY70" i="10"/>
  <c r="AY72" i="10" s="1"/>
  <c r="AW40" i="10"/>
  <c r="AX32" i="10"/>
  <c r="AX75" i="10"/>
  <c r="AY73" i="10" l="1"/>
  <c r="AY74" i="10" s="1"/>
  <c r="AZ68" i="10" s="1"/>
  <c r="AW41" i="10"/>
  <c r="AW49" i="10" s="1"/>
  <c r="AW48" i="10"/>
  <c r="AX33" i="10"/>
  <c r="AX34" i="10" s="1"/>
  <c r="AX36" i="10" s="1"/>
  <c r="AZ23" i="10"/>
  <c r="AZ63" i="10"/>
  <c r="AZ71" i="10"/>
  <c r="AZ62" i="10"/>
  <c r="BA57" i="10" s="1"/>
  <c r="AW50" i="10" l="1"/>
  <c r="AW51" i="10" s="1"/>
  <c r="AW42" i="10"/>
  <c r="AW44" i="10" s="1"/>
  <c r="AZ24" i="10"/>
  <c r="AZ25" i="10" s="1"/>
  <c r="BA59" i="10"/>
  <c r="BA60" i="10" s="1"/>
  <c r="AX40" i="10"/>
  <c r="AZ70" i="10"/>
  <c r="AZ72" i="10" s="1"/>
  <c r="AY32" i="10"/>
  <c r="AY75" i="10"/>
  <c r="AZ73" i="10" l="1"/>
  <c r="AZ74" i="10" s="1"/>
  <c r="BA68" i="10" s="1"/>
  <c r="BA61" i="10"/>
  <c r="BA62" i="10" s="1"/>
  <c r="BB57" i="10" s="1"/>
  <c r="AX41" i="10"/>
  <c r="AX49" i="10" s="1"/>
  <c r="AX48" i="10"/>
  <c r="AY33" i="10"/>
  <c r="AX50" i="10" l="1"/>
  <c r="AX51" i="10" s="1"/>
  <c r="AX42" i="10"/>
  <c r="AX44" i="10" s="1"/>
  <c r="BA70" i="10"/>
  <c r="AY34" i="10"/>
  <c r="AY36" i="10" s="1"/>
  <c r="BB59" i="10"/>
  <c r="BB60" i="10" s="1"/>
  <c r="BA23" i="10"/>
  <c r="BA71" i="10"/>
  <c r="BA63" i="10"/>
  <c r="AZ32" i="10"/>
  <c r="AZ75" i="10"/>
  <c r="BA72" i="10" l="1"/>
  <c r="BA73" i="10" s="1"/>
  <c r="BB61" i="10"/>
  <c r="BA24" i="10"/>
  <c r="AZ33" i="10"/>
  <c r="AY40" i="10"/>
  <c r="AY41" i="10" l="1"/>
  <c r="AY49" i="10" s="1"/>
  <c r="AY48" i="10"/>
  <c r="BA32" i="10"/>
  <c r="BA75" i="10"/>
  <c r="AZ34" i="10"/>
  <c r="AZ36" i="10" s="1"/>
  <c r="BA25" i="10"/>
  <c r="BA74" i="10"/>
  <c r="BB68" i="10" s="1"/>
  <c r="BB23" i="10"/>
  <c r="BB71" i="10"/>
  <c r="BB63" i="10"/>
  <c r="BB62" i="10"/>
  <c r="BC57" i="10" s="1"/>
  <c r="AY50" i="10" l="1"/>
  <c r="AY51" i="10" s="1"/>
  <c r="AZ40" i="10"/>
  <c r="BB70" i="10"/>
  <c r="BB72" i="10" s="1"/>
  <c r="BA33" i="10"/>
  <c r="BC59" i="10"/>
  <c r="BC60" i="10" s="1"/>
  <c r="BB24" i="10"/>
  <c r="BB25" i="10" s="1"/>
  <c r="AY42" i="10"/>
  <c r="AY44" i="10" s="1"/>
  <c r="BC61" i="10" l="1"/>
  <c r="BB73" i="10"/>
  <c r="BB74" i="10" s="1"/>
  <c r="BC68" i="10" s="1"/>
  <c r="AZ41" i="10"/>
  <c r="AZ49" i="10" s="1"/>
  <c r="AZ48" i="10"/>
  <c r="BA34" i="10"/>
  <c r="BA36" i="10" s="1"/>
  <c r="AZ42" i="10" l="1"/>
  <c r="AZ44" i="10" s="1"/>
  <c r="BA40" i="10"/>
  <c r="BC23" i="10"/>
  <c r="BC71" i="10"/>
  <c r="BC63" i="10"/>
  <c r="AZ50" i="10"/>
  <c r="AZ51" i="10" s="1"/>
  <c r="BC70" i="10"/>
  <c r="BB32" i="10"/>
  <c r="BB75" i="10"/>
  <c r="BC62" i="10"/>
  <c r="BD57" i="10" s="1"/>
  <c r="BC72" i="10" l="1"/>
  <c r="BC73" i="10" s="1"/>
  <c r="BC74" i="10" s="1"/>
  <c r="BD68" i="10" s="1"/>
  <c r="BD59" i="10"/>
  <c r="BD60" i="10" s="1"/>
  <c r="BB33" i="10"/>
  <c r="BB34" i="10" s="1"/>
  <c r="BB36" i="10" s="1"/>
  <c r="BC24" i="10"/>
  <c r="BC25" i="10" s="1"/>
  <c r="BA41" i="10"/>
  <c r="BA49" i="10" s="1"/>
  <c r="BA48" i="10"/>
  <c r="BA50" i="10" l="1"/>
  <c r="BA51" i="10" s="1"/>
  <c r="BA42" i="10"/>
  <c r="BA44" i="10" s="1"/>
  <c r="BD61" i="10"/>
  <c r="BD70" i="10"/>
  <c r="BB40" i="10"/>
  <c r="BC32" i="10"/>
  <c r="BC75" i="10"/>
  <c r="BC33" i="10" l="1"/>
  <c r="BC34" i="10" s="1"/>
  <c r="BC36" i="10" s="1"/>
  <c r="BB41" i="10"/>
  <c r="BB49" i="10" s="1"/>
  <c r="BB48" i="10"/>
  <c r="BD23" i="10"/>
  <c r="BD71" i="10"/>
  <c r="BD72" i="10" s="1"/>
  <c r="BD63" i="10"/>
  <c r="BD62" i="10"/>
  <c r="BE57" i="10" s="1"/>
  <c r="BB50" i="10" l="1"/>
  <c r="BB51" i="10" s="1"/>
  <c r="BB42" i="10"/>
  <c r="BB44" i="10" s="1"/>
  <c r="BD73" i="10"/>
  <c r="BD74" i="10" s="1"/>
  <c r="BE68" i="10" s="1"/>
  <c r="BD24" i="10"/>
  <c r="BD25" i="10" s="1"/>
  <c r="BC40" i="10"/>
  <c r="BE59" i="10"/>
  <c r="BE60" i="10" s="1"/>
  <c r="BE61" i="10" l="1"/>
  <c r="BC41" i="10"/>
  <c r="BC49" i="10" s="1"/>
  <c r="BC48" i="10"/>
  <c r="BE70" i="10"/>
  <c r="BD32" i="10"/>
  <c r="BD75" i="10"/>
  <c r="BC50" i="10" l="1"/>
  <c r="BC51" i="10" s="1"/>
  <c r="BD33" i="10"/>
  <c r="BD34" i="10" s="1"/>
  <c r="BD36" i="10" s="1"/>
  <c r="BE23" i="10"/>
  <c r="BE71" i="10"/>
  <c r="BE72" i="10" s="1"/>
  <c r="BE63" i="10"/>
  <c r="BC42" i="10"/>
  <c r="BC44" i="10" s="1"/>
  <c r="BE62" i="10"/>
  <c r="BF57" i="10" s="1"/>
  <c r="BF59" i="10" l="1"/>
  <c r="BF60" i="10" s="1"/>
  <c r="BD40" i="10"/>
  <c r="BE73" i="10"/>
  <c r="BE74" i="10" s="1"/>
  <c r="BF68" i="10" s="1"/>
  <c r="BE24" i="10"/>
  <c r="BE25" i="10" s="1"/>
  <c r="BF70" i="10" l="1"/>
  <c r="BE32" i="10"/>
  <c r="BE75" i="10"/>
  <c r="BD41" i="10"/>
  <c r="BD49" i="10" s="1"/>
  <c r="BD48" i="10"/>
  <c r="BF61" i="10"/>
  <c r="BF62" i="10" s="1"/>
  <c r="BG57" i="10" s="1"/>
  <c r="BD50" i="10" l="1"/>
  <c r="BD51" i="10" s="1"/>
  <c r="BD42" i="10"/>
  <c r="BD44" i="10" s="1"/>
  <c r="BG59" i="10"/>
  <c r="BG60" i="10" s="1"/>
  <c r="BE33" i="10"/>
  <c r="BE34" i="10" s="1"/>
  <c r="BE36" i="10" s="1"/>
  <c r="BF23" i="10"/>
  <c r="BF63" i="10"/>
  <c r="BF71" i="10"/>
  <c r="BF72" i="10" s="1"/>
  <c r="BE40" i="10" l="1"/>
  <c r="BF73" i="10"/>
  <c r="BF74" i="10" s="1"/>
  <c r="BG68" i="10" s="1"/>
  <c r="BF24" i="10"/>
  <c r="BF25" i="10" s="1"/>
  <c r="BG61" i="10"/>
  <c r="BG23" i="10" l="1"/>
  <c r="BG63" i="10"/>
  <c r="BG71" i="10"/>
  <c r="BE41" i="10"/>
  <c r="BE49" i="10" s="1"/>
  <c r="BE48" i="10"/>
  <c r="BG62" i="10"/>
  <c r="BH57" i="10" s="1"/>
  <c r="BG70" i="10"/>
  <c r="BF32" i="10"/>
  <c r="BF75" i="10"/>
  <c r="BG72" i="10" l="1"/>
  <c r="BG73" i="10" s="1"/>
  <c r="BG74" i="10" s="1"/>
  <c r="BH68" i="10" s="1"/>
  <c r="BE50" i="10"/>
  <c r="BE51" i="10" s="1"/>
  <c r="BF33" i="10"/>
  <c r="BF34" i="10" s="1"/>
  <c r="BF36" i="10" s="1"/>
  <c r="BH59" i="10"/>
  <c r="BH60" i="10" s="1"/>
  <c r="BE42" i="10"/>
  <c r="BE44" i="10" s="1"/>
  <c r="BG24" i="10"/>
  <c r="BG25" i="10" s="1"/>
  <c r="BH61" i="10" l="1"/>
  <c r="BF40" i="10"/>
  <c r="BH70" i="10"/>
  <c r="BG32" i="10"/>
  <c r="BG75" i="10"/>
  <c r="BG33" i="10" l="1"/>
  <c r="BG34" i="10" s="1"/>
  <c r="BG36" i="10" s="1"/>
  <c r="BF41" i="10"/>
  <c r="BF49" i="10" s="1"/>
  <c r="BF48" i="10"/>
  <c r="BH23" i="10"/>
  <c r="BH63" i="10"/>
  <c r="BH71" i="10"/>
  <c r="BH72" i="10" s="1"/>
  <c r="BH62" i="10"/>
  <c r="BI57" i="10" s="1"/>
  <c r="BF50" i="10" l="1"/>
  <c r="BF51" i="10" s="1"/>
  <c r="BF42" i="10"/>
  <c r="BF44" i="10" s="1"/>
  <c r="BI59" i="10"/>
  <c r="BI60" i="10" s="1"/>
  <c r="BH24" i="10"/>
  <c r="BG40" i="10"/>
  <c r="BH73" i="10"/>
  <c r="BH32" i="10" l="1"/>
  <c r="BH75" i="10"/>
  <c r="BH74" i="10"/>
  <c r="BI68" i="10" s="1"/>
  <c r="BG41" i="10"/>
  <c r="BG49" i="10" s="1"/>
  <c r="BG48" i="10"/>
  <c r="BH25" i="10"/>
  <c r="BI61" i="10"/>
  <c r="BG50" i="10" l="1"/>
  <c r="BG51" i="10" s="1"/>
  <c r="BI23" i="10"/>
  <c r="BI63" i="10"/>
  <c r="BI71" i="10"/>
  <c r="BI70" i="10"/>
  <c r="BI62" i="10"/>
  <c r="BJ57" i="10" s="1"/>
  <c r="BG42" i="10"/>
  <c r="BG44" i="10" s="1"/>
  <c r="BH33" i="10"/>
  <c r="BI72" i="10" l="1"/>
  <c r="BI73" i="10" s="1"/>
  <c r="BJ59" i="10"/>
  <c r="BJ60" i="10" s="1"/>
  <c r="BH34" i="10"/>
  <c r="BH36" i="10" s="1"/>
  <c r="BI24" i="10"/>
  <c r="BI25" i="10" s="1"/>
  <c r="BH40" i="10" l="1"/>
  <c r="BI32" i="10"/>
  <c r="BI75" i="10"/>
  <c r="BJ61" i="10"/>
  <c r="BI74" i="10"/>
  <c r="BJ68" i="10" s="1"/>
  <c r="BJ70" i="10" l="1"/>
  <c r="BJ23" i="10"/>
  <c r="BJ63" i="10"/>
  <c r="BJ71" i="10"/>
  <c r="BJ62" i="10"/>
  <c r="BK57" i="10" s="1"/>
  <c r="BI33" i="10"/>
  <c r="BI34" i="10" s="1"/>
  <c r="BI36" i="10" s="1"/>
  <c r="BH41" i="10"/>
  <c r="BH49" i="10" s="1"/>
  <c r="BH48" i="10"/>
  <c r="BH50" i="10" l="1"/>
  <c r="BH51" i="10" s="1"/>
  <c r="BJ72" i="10"/>
  <c r="BJ73" i="10" s="1"/>
  <c r="BH42" i="10"/>
  <c r="BH44" i="10" s="1"/>
  <c r="BI40" i="10"/>
  <c r="BK59" i="10"/>
  <c r="BK60" i="10" s="1"/>
  <c r="BJ24" i="10"/>
  <c r="BK61" i="10" l="1"/>
  <c r="BK62" i="10" s="1"/>
  <c r="BL57" i="10" s="1"/>
  <c r="BJ32" i="10"/>
  <c r="BJ75" i="10"/>
  <c r="BJ25" i="10"/>
  <c r="BI41" i="10"/>
  <c r="BI49" i="10" s="1"/>
  <c r="BI48" i="10"/>
  <c r="BJ74" i="10"/>
  <c r="BK68" i="10" s="1"/>
  <c r="BI50" i="10" l="1"/>
  <c r="BI51" i="10" s="1"/>
  <c r="BK70" i="10"/>
  <c r="BI42" i="10"/>
  <c r="BI44" i="10" s="1"/>
  <c r="BL59" i="10"/>
  <c r="BL60" i="10" s="1"/>
  <c r="BJ33" i="10"/>
  <c r="BK23" i="10"/>
  <c r="BK63" i="10"/>
  <c r="BK71" i="10"/>
  <c r="BK72" i="10" l="1"/>
  <c r="BK73" i="10" s="1"/>
  <c r="BK74" i="10" s="1"/>
  <c r="BL68" i="10" s="1"/>
  <c r="BL61" i="10"/>
  <c r="BK24" i="10"/>
  <c r="BJ34" i="10"/>
  <c r="BJ36" i="10" s="1"/>
  <c r="BJ40" i="10" l="1"/>
  <c r="BL23" i="10"/>
  <c r="BL63" i="10"/>
  <c r="BL71" i="10"/>
  <c r="BL70" i="10"/>
  <c r="BL72" i="10" s="1"/>
  <c r="BK25" i="10"/>
  <c r="BL62" i="10"/>
  <c r="BM57" i="10" s="1"/>
  <c r="BK32" i="10"/>
  <c r="BK75" i="10"/>
  <c r="BK33" i="10" l="1"/>
  <c r="BL73" i="10"/>
  <c r="BM59" i="10"/>
  <c r="BM60" i="10" s="1"/>
  <c r="BL24" i="10"/>
  <c r="BL25" i="10" s="1"/>
  <c r="BJ41" i="10"/>
  <c r="BJ49" i="10" s="1"/>
  <c r="BJ48" i="10"/>
  <c r="BJ50" i="10" l="1"/>
  <c r="BJ51" i="10" s="1"/>
  <c r="BM61" i="10"/>
  <c r="BL32" i="10"/>
  <c r="BL75" i="10"/>
  <c r="BL74" i="10"/>
  <c r="BM68" i="10" s="1"/>
  <c r="BJ42" i="10"/>
  <c r="BJ44" i="10" s="1"/>
  <c r="BK34" i="10"/>
  <c r="BK36" i="10" s="1"/>
  <c r="BM23" i="10" l="1"/>
  <c r="BM63" i="10"/>
  <c r="BM71" i="10"/>
  <c r="BK40" i="10"/>
  <c r="BM70" i="10"/>
  <c r="BM72" i="10" s="1"/>
  <c r="BL33" i="10"/>
  <c r="BL34" i="10" s="1"/>
  <c r="BL36" i="10" s="1"/>
  <c r="BM62" i="10"/>
  <c r="BN57" i="10" s="1"/>
  <c r="BM73" i="10" l="1"/>
  <c r="BN59" i="10"/>
  <c r="BN60" i="10" s="1"/>
  <c r="BL40" i="10"/>
  <c r="BK41" i="10"/>
  <c r="BK49" i="10" s="1"/>
  <c r="BK48" i="10"/>
  <c r="BM24" i="10"/>
  <c r="BM25" i="10" s="1"/>
  <c r="BK50" i="10" l="1"/>
  <c r="BK51" i="10" s="1"/>
  <c r="BK42" i="10"/>
  <c r="BK44" i="10" s="1"/>
  <c r="BN61" i="10"/>
  <c r="BM32" i="10"/>
  <c r="BM75" i="10"/>
  <c r="BL41" i="10"/>
  <c r="BL49" i="10" s="1"/>
  <c r="BL48" i="10"/>
  <c r="BM74" i="10"/>
  <c r="BN68" i="10" s="1"/>
  <c r="BL50" i="10" l="1"/>
  <c r="BL51" i="10" s="1"/>
  <c r="BL42" i="10"/>
  <c r="BL44" i="10" s="1"/>
  <c r="BN70" i="10"/>
  <c r="BM33" i="10"/>
  <c r="BN23" i="10"/>
  <c r="BN71" i="10"/>
  <c r="BN63" i="10"/>
  <c r="BN62" i="10"/>
  <c r="BO57" i="10" s="1"/>
  <c r="BN72" i="10" l="1"/>
  <c r="BN73" i="10" s="1"/>
  <c r="BN74" i="10" s="1"/>
  <c r="BO68" i="10" s="1"/>
  <c r="BO59" i="10"/>
  <c r="BO60" i="10" s="1"/>
  <c r="BN24" i="10"/>
  <c r="BN25" i="10" s="1"/>
  <c r="BM34" i="10"/>
  <c r="BM36" i="10" s="1"/>
  <c r="BO61" i="10" l="1"/>
  <c r="BO62" i="10" s="1"/>
  <c r="BP57" i="10" s="1"/>
  <c r="BM40" i="10"/>
  <c r="BO70" i="10"/>
  <c r="BN32" i="10"/>
  <c r="BN75" i="10"/>
  <c r="BN33" i="10" l="1"/>
  <c r="BN34" i="10" s="1"/>
  <c r="BN36" i="10" s="1"/>
  <c r="BP59" i="10"/>
  <c r="BP60" i="10" s="1"/>
  <c r="BM41" i="10"/>
  <c r="BM49" i="10" s="1"/>
  <c r="BM48" i="10"/>
  <c r="BO23" i="10"/>
  <c r="BO63" i="10"/>
  <c r="BO71" i="10"/>
  <c r="BO72" i="10" s="1"/>
  <c r="BM50" i="10" l="1"/>
  <c r="BM51" i="10" s="1"/>
  <c r="BM42" i="10"/>
  <c r="BM44" i="10" s="1"/>
  <c r="BO73" i="10"/>
  <c r="BO74" i="10" s="1"/>
  <c r="BP68" i="10" s="1"/>
  <c r="BP61" i="10"/>
  <c r="BP62" i="10" s="1"/>
  <c r="BQ57" i="10" s="1"/>
  <c r="BO24" i="10"/>
  <c r="BO25" i="10" s="1"/>
  <c r="BN40" i="10"/>
  <c r="BN41" i="10" l="1"/>
  <c r="BN49" i="10" s="1"/>
  <c r="BN48" i="10"/>
  <c r="BP70" i="10"/>
  <c r="BQ59" i="10"/>
  <c r="BQ60" i="10" s="1"/>
  <c r="BP23" i="10"/>
  <c r="BP63" i="10"/>
  <c r="BP71" i="10"/>
  <c r="BO32" i="10"/>
  <c r="BO75" i="10"/>
  <c r="BN50" i="10" l="1"/>
  <c r="BN51" i="10" s="1"/>
  <c r="BN42" i="10"/>
  <c r="BN44" i="10" s="1"/>
  <c r="BP72" i="10"/>
  <c r="BP73" i="10" s="1"/>
  <c r="BP74" i="10" s="1"/>
  <c r="BQ68" i="10" s="1"/>
  <c r="BQ61" i="10"/>
  <c r="BQ62" i="10" s="1"/>
  <c r="BR57" i="10" s="1"/>
  <c r="BP24" i="10"/>
  <c r="BP25" i="10" s="1"/>
  <c r="BO33" i="10"/>
  <c r="BQ70" i="10" l="1"/>
  <c r="BR59" i="10"/>
  <c r="BR60" i="10" s="1"/>
  <c r="BO34" i="10"/>
  <c r="BO36" i="10" s="1"/>
  <c r="BP32" i="10"/>
  <c r="BP75" i="10"/>
  <c r="BQ23" i="10"/>
  <c r="BQ63" i="10"/>
  <c r="BQ71" i="10"/>
  <c r="BQ72" i="10" l="1"/>
  <c r="BQ73" i="10" s="1"/>
  <c r="BO40" i="10"/>
  <c r="BR61" i="10"/>
  <c r="BQ24" i="10"/>
  <c r="BP33" i="10"/>
  <c r="BP34" i="10" s="1"/>
  <c r="BP36" i="10" s="1"/>
  <c r="BQ74" i="10" l="1"/>
  <c r="BR68" i="10" s="1"/>
  <c r="BR70" i="10" s="1"/>
  <c r="BP40" i="10"/>
  <c r="BR23" i="10"/>
  <c r="BR63" i="10"/>
  <c r="BR71" i="10"/>
  <c r="BQ25" i="10"/>
  <c r="BR62" i="10"/>
  <c r="BS57" i="10" s="1"/>
  <c r="BO41" i="10"/>
  <c r="BO49" i="10" s="1"/>
  <c r="BO48" i="10"/>
  <c r="BQ32" i="10"/>
  <c r="BQ75" i="10"/>
  <c r="BO50" i="10" l="1"/>
  <c r="BO51" i="10" s="1"/>
  <c r="BR72" i="10"/>
  <c r="BR73" i="10" s="1"/>
  <c r="BR74" i="10" s="1"/>
  <c r="BS68" i="10" s="1"/>
  <c r="BO42" i="10"/>
  <c r="BO44" i="10" s="1"/>
  <c r="BP41" i="10"/>
  <c r="BP49" i="10" s="1"/>
  <c r="BP48" i="10"/>
  <c r="BQ33" i="10"/>
  <c r="BQ34" i="10" s="1"/>
  <c r="BQ36" i="10" s="1"/>
  <c r="BS59" i="10"/>
  <c r="BS60" i="10" s="1"/>
  <c r="BR24" i="10"/>
  <c r="BR25" i="10" s="1"/>
  <c r="BP50" i="10" l="1"/>
  <c r="BP51" i="10" s="1"/>
  <c r="BP42" i="10"/>
  <c r="BP44" i="10" s="1"/>
  <c r="BS61" i="10"/>
  <c r="BS62" i="10" s="1"/>
  <c r="BT57" i="10" s="1"/>
  <c r="BQ40" i="10"/>
  <c r="BS70" i="10"/>
  <c r="BR32" i="10"/>
  <c r="BR75" i="10"/>
  <c r="BQ41" i="10" l="1"/>
  <c r="BQ49" i="10" s="1"/>
  <c r="BQ48" i="10"/>
  <c r="BT59" i="10"/>
  <c r="BT60" i="10" s="1"/>
  <c r="BR33" i="10"/>
  <c r="BR34" i="10" s="1"/>
  <c r="BR36" i="10" s="1"/>
  <c r="BS23" i="10"/>
  <c r="BS63" i="10"/>
  <c r="BS71" i="10"/>
  <c r="BS72" i="10" s="1"/>
  <c r="BQ50" i="10" l="1"/>
  <c r="BQ51" i="10" s="1"/>
  <c r="BQ42" i="10"/>
  <c r="BQ44" i="10" s="1"/>
  <c r="BS73" i="10"/>
  <c r="BS74" i="10" s="1"/>
  <c r="BT68" i="10" s="1"/>
  <c r="BR40" i="10"/>
  <c r="BT61" i="10"/>
  <c r="BS24" i="10"/>
  <c r="BS25" i="10" s="1"/>
  <c r="BT23" i="10" l="1"/>
  <c r="BT63" i="10"/>
  <c r="BT71" i="10"/>
  <c r="BT70" i="10"/>
  <c r="BT62" i="10"/>
  <c r="BU57" i="10" s="1"/>
  <c r="BR41" i="10"/>
  <c r="BR49" i="10" s="1"/>
  <c r="BR48" i="10"/>
  <c r="BS32" i="10"/>
  <c r="BS75" i="10"/>
  <c r="BT72" i="10" l="1"/>
  <c r="BT73" i="10" s="1"/>
  <c r="BT74" i="10" s="1"/>
  <c r="BU68" i="10" s="1"/>
  <c r="BR50" i="10"/>
  <c r="BR51" i="10" s="1"/>
  <c r="BR42" i="10"/>
  <c r="BR44" i="10" s="1"/>
  <c r="BS33" i="10"/>
  <c r="BU59" i="10"/>
  <c r="BU60" i="10" s="1"/>
  <c r="BT24" i="10"/>
  <c r="BT25" i="10" s="1"/>
  <c r="BU61" i="10" l="1"/>
  <c r="BU62" i="10" s="1"/>
  <c r="BV57" i="10" s="1"/>
  <c r="BU70" i="10"/>
  <c r="BS34" i="10"/>
  <c r="BS36" i="10" s="1"/>
  <c r="BT32" i="10"/>
  <c r="BT75" i="10"/>
  <c r="BS40" i="10" l="1"/>
  <c r="BT33" i="10"/>
  <c r="BV59" i="10"/>
  <c r="BV60" i="10" s="1"/>
  <c r="BU23" i="10"/>
  <c r="BU71" i="10"/>
  <c r="BU72" i="10" s="1"/>
  <c r="BU63" i="10"/>
  <c r="BU73" i="10" l="1"/>
  <c r="BU74" i="10" s="1"/>
  <c r="BV68" i="10" s="1"/>
  <c r="BV61" i="10"/>
  <c r="BS41" i="10"/>
  <c r="BS49" i="10" s="1"/>
  <c r="BS48" i="10"/>
  <c r="BU24" i="10"/>
  <c r="BU25" i="10" s="1"/>
  <c r="BT34" i="10"/>
  <c r="BT36" i="10" s="1"/>
  <c r="BS50" i="10" l="1"/>
  <c r="BS51" i="10" s="1"/>
  <c r="BS42" i="10"/>
  <c r="BS44" i="10" s="1"/>
  <c r="BT40" i="10"/>
  <c r="BV23" i="10"/>
  <c r="BV71" i="10"/>
  <c r="BV63" i="10"/>
  <c r="BV62" i="10"/>
  <c r="BW57" i="10" s="1"/>
  <c r="BV70" i="10"/>
  <c r="BU32" i="10"/>
  <c r="BU75" i="10"/>
  <c r="BV72" i="10" l="1"/>
  <c r="BV73" i="10" s="1"/>
  <c r="BV74" i="10" s="1"/>
  <c r="BW68" i="10" s="1"/>
  <c r="BW59" i="10"/>
  <c r="BW60" i="10" s="1"/>
  <c r="BV24" i="10"/>
  <c r="BV25" i="10" s="1"/>
  <c r="BU33" i="10"/>
  <c r="BU34" i="10" s="1"/>
  <c r="BU36" i="10" s="1"/>
  <c r="BT41" i="10"/>
  <c r="BT49" i="10" s="1"/>
  <c r="BT48" i="10"/>
  <c r="BT50" i="10" l="1"/>
  <c r="BT51" i="10" s="1"/>
  <c r="BU40" i="10"/>
  <c r="BT42" i="10"/>
  <c r="BT44" i="10" s="1"/>
  <c r="BW70" i="10"/>
  <c r="BW61" i="10"/>
  <c r="BV32" i="10"/>
  <c r="BV75" i="10"/>
  <c r="BW23" i="10" l="1"/>
  <c r="BW71" i="10"/>
  <c r="BW72" i="10" s="1"/>
  <c r="BW63" i="10"/>
  <c r="BV33" i="10"/>
  <c r="BV34" i="10" s="1"/>
  <c r="BV36" i="10" s="1"/>
  <c r="BW62" i="10"/>
  <c r="BX57" i="10" s="1"/>
  <c r="BU41" i="10"/>
  <c r="BU49" i="10" s="1"/>
  <c r="BU48" i="10"/>
  <c r="BU50" i="10" l="1"/>
  <c r="BU51" i="10" s="1"/>
  <c r="BU42" i="10"/>
  <c r="BU44" i="10" s="1"/>
  <c r="BW73" i="10"/>
  <c r="BW74" i="10" s="1"/>
  <c r="BX68" i="10" s="1"/>
  <c r="BX59" i="10"/>
  <c r="BX60" i="10" s="1"/>
  <c r="BV40" i="10"/>
  <c r="BW24" i="10"/>
  <c r="BW25" i="10" s="1"/>
  <c r="BX61" i="10" l="1"/>
  <c r="BV41" i="10"/>
  <c r="BV49" i="10" s="1"/>
  <c r="BV48" i="10"/>
  <c r="BX70" i="10"/>
  <c r="BW32" i="10"/>
  <c r="BW75" i="10"/>
  <c r="BV50" i="10" l="1"/>
  <c r="BV51" i="10" s="1"/>
  <c r="BV42" i="10"/>
  <c r="BV44" i="10" s="1"/>
  <c r="BW33" i="10"/>
  <c r="BW34" i="10" s="1"/>
  <c r="BW36" i="10" s="1"/>
  <c r="BX23" i="10"/>
  <c r="BX71" i="10"/>
  <c r="BX72" i="10" s="1"/>
  <c r="BX63" i="10"/>
  <c r="BX62" i="10"/>
  <c r="BY57" i="10" s="1"/>
  <c r="BX73" i="10" l="1"/>
  <c r="BX74" i="10" s="1"/>
  <c r="BY68" i="10" s="1"/>
  <c r="BY59" i="10"/>
  <c r="BY60" i="10" s="1"/>
  <c r="BX24" i="10"/>
  <c r="BX25" i="10" s="1"/>
  <c r="BW40" i="10"/>
  <c r="BY70" i="10" l="1"/>
  <c r="BW41" i="10"/>
  <c r="BW49" i="10" s="1"/>
  <c r="BW48" i="10"/>
  <c r="BY61" i="10"/>
  <c r="BX32" i="10"/>
  <c r="BX75" i="10"/>
  <c r="BW50" i="10" l="1"/>
  <c r="BW51" i="10" s="1"/>
  <c r="BY23" i="10"/>
  <c r="BY71" i="10"/>
  <c r="BY72" i="10" s="1"/>
  <c r="BY63" i="10"/>
  <c r="BW42" i="10"/>
  <c r="BW44" i="10" s="1"/>
  <c r="BX33" i="10"/>
  <c r="BX34" i="10" s="1"/>
  <c r="BX36" i="10" s="1"/>
  <c r="BY62" i="10"/>
  <c r="BZ57" i="10" s="1"/>
  <c r="BZ59" i="10" l="1"/>
  <c r="BZ60" i="10" s="1"/>
  <c r="BX40" i="10"/>
  <c r="BY73" i="10"/>
  <c r="BY74" i="10" s="1"/>
  <c r="BZ68" i="10" s="1"/>
  <c r="BY24" i="10"/>
  <c r="BY25" i="10" s="1"/>
  <c r="BZ70" i="10" l="1"/>
  <c r="BY32" i="10"/>
  <c r="BY75" i="10"/>
  <c r="BX41" i="10"/>
  <c r="BX49" i="10" s="1"/>
  <c r="BX48" i="10"/>
  <c r="BZ61" i="10"/>
  <c r="BX50" i="10" l="1"/>
  <c r="BX51" i="10" s="1"/>
  <c r="BX42" i="10"/>
  <c r="BX44" i="10" s="1"/>
  <c r="BZ23" i="10"/>
  <c r="BZ71" i="10"/>
  <c r="BZ72" i="10" s="1"/>
  <c r="BZ63" i="10"/>
  <c r="BZ62" i="10"/>
  <c r="CA57" i="10" s="1"/>
  <c r="BY33" i="10"/>
  <c r="BY34" i="10" s="1"/>
  <c r="BY36" i="10" s="1"/>
  <c r="BY40" i="10" l="1"/>
  <c r="CA59" i="10"/>
  <c r="CA60" i="10" s="1"/>
  <c r="BZ73" i="10"/>
  <c r="BZ74" i="10" s="1"/>
  <c r="CA68" i="10" s="1"/>
  <c r="BZ24" i="10"/>
  <c r="BZ25" i="10" s="1"/>
  <c r="CA70" i="10" l="1"/>
  <c r="CA61" i="10"/>
  <c r="BZ32" i="10"/>
  <c r="BZ75" i="10"/>
  <c r="BY41" i="10"/>
  <c r="BY49" i="10" s="1"/>
  <c r="BY48" i="10"/>
  <c r="BY50" i="10" l="1"/>
  <c r="BY51" i="10" s="1"/>
  <c r="BY42" i="10"/>
  <c r="BY44" i="10" s="1"/>
  <c r="BZ33" i="10"/>
  <c r="BZ34" i="10" s="1"/>
  <c r="BZ36" i="10" s="1"/>
  <c r="CA23" i="10"/>
  <c r="CA71" i="10"/>
  <c r="CA72" i="10" s="1"/>
  <c r="CA63" i="10"/>
  <c r="CA62" i="10"/>
  <c r="CB57" i="10" s="1"/>
  <c r="CB59" i="10" l="1"/>
  <c r="CB60" i="10" s="1"/>
  <c r="BZ40" i="10"/>
  <c r="CA73" i="10"/>
  <c r="CA74" i="10" s="1"/>
  <c r="CB68" i="10" s="1"/>
  <c r="CA24" i="10"/>
  <c r="CB70" i="10" l="1"/>
  <c r="CB61" i="10"/>
  <c r="CB62" i="10" s="1"/>
  <c r="CC57" i="10" s="1"/>
  <c r="CA25" i="10"/>
  <c r="CA32" i="10"/>
  <c r="CA75" i="10"/>
  <c r="BZ41" i="10"/>
  <c r="BZ49" i="10" s="1"/>
  <c r="BZ48" i="10"/>
  <c r="BZ50" i="10" l="1"/>
  <c r="BZ51" i="10" s="1"/>
  <c r="BZ42" i="10"/>
  <c r="BZ44" i="10" s="1"/>
  <c r="CA33" i="10"/>
  <c r="CC59" i="10"/>
  <c r="CC60" i="10" s="1"/>
  <c r="CB23" i="10"/>
  <c r="CB71" i="10"/>
  <c r="CB72" i="10" s="1"/>
  <c r="CB63" i="10"/>
  <c r="CB73" i="10" l="1"/>
  <c r="CB74" i="10" s="1"/>
  <c r="CC68" i="10" s="1"/>
  <c r="CB24" i="10"/>
  <c r="CC61" i="10"/>
  <c r="CC62" i="10" s="1"/>
  <c r="CD57" i="10" s="1"/>
  <c r="CA34" i="10"/>
  <c r="CA36" i="10" s="1"/>
  <c r="CD59" i="10" l="1"/>
  <c r="CD60" i="10" s="1"/>
  <c r="CA40" i="10"/>
  <c r="CC70" i="10"/>
  <c r="CC23" i="10"/>
  <c r="CC71" i="10"/>
  <c r="CC63" i="10"/>
  <c r="CB25" i="10"/>
  <c r="CB32" i="10"/>
  <c r="CB75" i="10"/>
  <c r="CC72" i="10" l="1"/>
  <c r="CC73" i="10" s="1"/>
  <c r="CC74" i="10" s="1"/>
  <c r="CD68" i="10" s="1"/>
  <c r="CB33" i="10"/>
  <c r="CB34" i="10" s="1"/>
  <c r="CB36" i="10" s="1"/>
  <c r="CD61" i="10"/>
  <c r="CD62" i="10" s="1"/>
  <c r="CE57" i="10" s="1"/>
  <c r="CC24" i="10"/>
  <c r="CA41" i="10"/>
  <c r="CA49" i="10" s="1"/>
  <c r="CA48" i="10"/>
  <c r="CA50" i="10" l="1"/>
  <c r="CA51" i="10" s="1"/>
  <c r="CE59" i="10"/>
  <c r="CE60" i="10" s="1"/>
  <c r="CA42" i="10"/>
  <c r="CA44" i="10" s="1"/>
  <c r="CC25" i="10"/>
  <c r="CD70" i="10"/>
  <c r="CD23" i="10"/>
  <c r="CD71" i="10"/>
  <c r="CD63" i="10"/>
  <c r="CB40" i="10"/>
  <c r="CC32" i="10"/>
  <c r="CC75" i="10"/>
  <c r="CD72" i="10" l="1"/>
  <c r="CD73" i="10" s="1"/>
  <c r="CD74" i="10" s="1"/>
  <c r="CE68" i="10" s="1"/>
  <c r="CC33" i="10"/>
  <c r="CC34" i="10" s="1"/>
  <c r="CC36" i="10" s="1"/>
  <c r="CD24" i="10"/>
  <c r="CE61" i="10"/>
  <c r="CB41" i="10"/>
  <c r="CB49" i="10" s="1"/>
  <c r="CB48" i="10"/>
  <c r="CB50" i="10" l="1"/>
  <c r="CB51" i="10" s="1"/>
  <c r="CE23" i="10"/>
  <c r="CE63" i="10"/>
  <c r="CE71" i="10"/>
  <c r="CE62" i="10"/>
  <c r="CF57" i="10" s="1"/>
  <c r="CC40" i="10"/>
  <c r="CE70" i="10"/>
  <c r="CB42" i="10"/>
  <c r="CB44" i="10" s="1"/>
  <c r="CD25" i="10"/>
  <c r="CD32" i="10"/>
  <c r="CD75" i="10"/>
  <c r="CE72" i="10" l="1"/>
  <c r="CE73" i="10" s="1"/>
  <c r="CE74" i="10" s="1"/>
  <c r="CF68" i="10" s="1"/>
  <c r="CD33" i="10"/>
  <c r="CD34" i="10" s="1"/>
  <c r="CD36" i="10" s="1"/>
  <c r="CC41" i="10"/>
  <c r="CC49" i="10" s="1"/>
  <c r="CC48" i="10"/>
  <c r="CF59" i="10"/>
  <c r="CF60" i="10" s="1"/>
  <c r="CE24" i="10"/>
  <c r="CE25" i="10" s="1"/>
  <c r="CC50" i="10" l="1"/>
  <c r="CC51" i="10" s="1"/>
  <c r="CF61" i="10"/>
  <c r="CF62" i="10" s="1"/>
  <c r="CG57" i="10" s="1"/>
  <c r="CF70" i="10"/>
  <c r="CC42" i="10"/>
  <c r="CC44" i="10" s="1"/>
  <c r="CD40" i="10"/>
  <c r="CE32" i="10"/>
  <c r="CE75" i="10"/>
  <c r="CE33" i="10" l="1"/>
  <c r="CE34" i="10" s="1"/>
  <c r="CE36" i="10" s="1"/>
  <c r="CD41" i="10"/>
  <c r="CD49" i="10" s="1"/>
  <c r="CD48" i="10"/>
  <c r="CG59" i="10"/>
  <c r="CG60" i="10" s="1"/>
  <c r="CF23" i="10"/>
  <c r="CF63" i="10"/>
  <c r="CF71" i="10"/>
  <c r="CF72" i="10" s="1"/>
  <c r="CD50" i="10" l="1"/>
  <c r="CD51" i="10" s="1"/>
  <c r="CD42" i="10"/>
  <c r="CD44" i="10" s="1"/>
  <c r="CF73" i="10"/>
  <c r="CG61" i="10"/>
  <c r="CE40" i="10"/>
  <c r="CF24" i="10"/>
  <c r="CE41" i="10" l="1"/>
  <c r="CE49" i="10" s="1"/>
  <c r="CE48" i="10"/>
  <c r="CF32" i="10"/>
  <c r="CF75" i="10"/>
  <c r="CF25" i="10"/>
  <c r="CG23" i="10"/>
  <c r="CG63" i="10"/>
  <c r="CG71" i="10"/>
  <c r="CG62" i="10"/>
  <c r="CH57" i="10" s="1"/>
  <c r="CF74" i="10"/>
  <c r="CG68" i="10" s="1"/>
  <c r="CE50" i="10" l="1"/>
  <c r="CE51" i="10" s="1"/>
  <c r="CG70" i="10"/>
  <c r="CG72" i="10" s="1"/>
  <c r="CG24" i="10"/>
  <c r="CG25" i="10" s="1"/>
  <c r="CH59" i="10"/>
  <c r="CH60" i="10" s="1"/>
  <c r="CF33" i="10"/>
  <c r="CE42" i="10"/>
  <c r="CE44" i="10" s="1"/>
  <c r="CH61" i="10" l="1"/>
  <c r="CG73" i="10"/>
  <c r="CG74" i="10" s="1"/>
  <c r="CH68" i="10" s="1"/>
  <c r="CF34" i="10"/>
  <c r="CF36" i="10" s="1"/>
  <c r="CH70" i="10" l="1"/>
  <c r="CF40" i="10"/>
  <c r="CG32" i="10"/>
  <c r="CG75" i="10"/>
  <c r="CH23" i="10"/>
  <c r="CH71" i="10"/>
  <c r="CH63" i="10"/>
  <c r="CH62" i="10"/>
  <c r="CI57" i="10" s="1"/>
  <c r="CH72" i="10" l="1"/>
  <c r="CH73" i="10" s="1"/>
  <c r="CI59" i="10"/>
  <c r="CI60" i="10" s="1"/>
  <c r="CH24" i="10"/>
  <c r="CH25" i="10" s="1"/>
  <c r="CF41" i="10"/>
  <c r="CF49" i="10" s="1"/>
  <c r="CF48" i="10"/>
  <c r="CG33" i="10"/>
  <c r="CF50" i="10" l="1"/>
  <c r="CF51" i="10" s="1"/>
  <c r="CF42" i="10"/>
  <c r="CF44" i="10" s="1"/>
  <c r="CI61" i="10"/>
  <c r="CG34" i="10"/>
  <c r="CG36" i="10" s="1"/>
  <c r="CH32" i="10"/>
  <c r="CH75" i="10"/>
  <c r="CH74" i="10"/>
  <c r="CI68" i="10" s="1"/>
  <c r="CI70" i="10" l="1"/>
  <c r="CH33" i="10"/>
  <c r="CH34" i="10" s="1"/>
  <c r="CH36" i="10" s="1"/>
  <c r="CG40" i="10"/>
  <c r="CI23" i="10"/>
  <c r="CI71" i="10"/>
  <c r="CI63" i="10"/>
  <c r="CI62" i="10"/>
  <c r="CJ57" i="10" s="1"/>
  <c r="CI72" i="10" l="1"/>
  <c r="CI73" i="10" s="1"/>
  <c r="CI74" i="10" s="1"/>
  <c r="CJ68" i="10" s="1"/>
  <c r="CJ59" i="10"/>
  <c r="CJ60" i="10" s="1"/>
  <c r="CI24" i="10"/>
  <c r="CI25" i="10" s="1"/>
  <c r="CH40" i="10"/>
  <c r="CG41" i="10"/>
  <c r="CG49" i="10" s="1"/>
  <c r="CG48" i="10"/>
  <c r="CG50" i="10" l="1"/>
  <c r="CG51" i="10" s="1"/>
  <c r="CG42" i="10"/>
  <c r="CG44" i="10" s="1"/>
  <c r="CJ61" i="10"/>
  <c r="CJ62" i="10" s="1"/>
  <c r="CK57" i="10" s="1"/>
  <c r="CH41" i="10"/>
  <c r="CH49" i="10" s="1"/>
  <c r="CH48" i="10"/>
  <c r="CJ70" i="10"/>
  <c r="CI32" i="10"/>
  <c r="CI75" i="10"/>
  <c r="CH50" i="10" l="1"/>
  <c r="CH51" i="10" s="1"/>
  <c r="CH42" i="10"/>
  <c r="CH44" i="10" s="1"/>
  <c r="CK59" i="10"/>
  <c r="CK60" i="10" s="1"/>
  <c r="CI33" i="10"/>
  <c r="CI34" i="10" s="1"/>
  <c r="CI36" i="10" s="1"/>
  <c r="CJ23" i="10"/>
  <c r="CJ63" i="10"/>
  <c r="CJ71" i="10"/>
  <c r="CJ72" i="10" s="1"/>
  <c r="CJ73" i="10" l="1"/>
  <c r="CJ74" i="10" s="1"/>
  <c r="CK68" i="10" s="1"/>
  <c r="CJ24" i="10"/>
  <c r="CJ25" i="10" s="1"/>
  <c r="CI40" i="10"/>
  <c r="CK61" i="10"/>
  <c r="CK62" i="10" s="1"/>
  <c r="CL57" i="10" s="1"/>
  <c r="CL59" i="10" l="1"/>
  <c r="CL60" i="10" s="1"/>
  <c r="CK23" i="10"/>
  <c r="CK63" i="10"/>
  <c r="CK71" i="10"/>
  <c r="CI41" i="10"/>
  <c r="CI49" i="10" s="1"/>
  <c r="CI48" i="10"/>
  <c r="CK70" i="10"/>
  <c r="CK72" i="10" s="1"/>
  <c r="CJ32" i="10"/>
  <c r="CJ75" i="10"/>
  <c r="CI50" i="10" l="1"/>
  <c r="CI51" i="10" s="1"/>
  <c r="CI42" i="10"/>
  <c r="CI44" i="10" s="1"/>
  <c r="CK73" i="10"/>
  <c r="CK74" i="10" s="1"/>
  <c r="CL68" i="10" s="1"/>
  <c r="CL61" i="10"/>
  <c r="CJ33" i="10"/>
  <c r="CJ34" i="10" s="1"/>
  <c r="CJ36" i="10" s="1"/>
  <c r="CK24" i="10"/>
  <c r="CK25" i="10" s="1"/>
  <c r="CL70" i="10" l="1"/>
  <c r="CJ40" i="10"/>
  <c r="CL23" i="10"/>
  <c r="CL63" i="10"/>
  <c r="CL71" i="10"/>
  <c r="CL62" i="10"/>
  <c r="CM57" i="10" s="1"/>
  <c r="CK32" i="10"/>
  <c r="CK75" i="10"/>
  <c r="CL72" i="10" l="1"/>
  <c r="CL73" i="10" s="1"/>
  <c r="CL74" i="10" s="1"/>
  <c r="CM68" i="10" s="1"/>
  <c r="CK33" i="10"/>
  <c r="CK34" i="10" s="1"/>
  <c r="CK36" i="10" s="1"/>
  <c r="CM59" i="10"/>
  <c r="CM60" i="10" s="1"/>
  <c r="CL24" i="10"/>
  <c r="CL25" i="10" s="1"/>
  <c r="CJ41" i="10"/>
  <c r="CJ49" i="10" s="1"/>
  <c r="CJ48" i="10"/>
  <c r="CM61" i="10" l="1"/>
  <c r="CM62" i="10" s="1"/>
  <c r="CN57" i="10" s="1"/>
  <c r="CJ50" i="10"/>
  <c r="CJ51" i="10" s="1"/>
  <c r="CM70" i="10"/>
  <c r="CJ42" i="10"/>
  <c r="CJ44" i="10" s="1"/>
  <c r="CK40" i="10"/>
  <c r="CL32" i="10"/>
  <c r="CL75" i="10"/>
  <c r="CL33" i="10" l="1"/>
  <c r="CL34" i="10" s="1"/>
  <c r="CL36" i="10" s="1"/>
  <c r="CK41" i="10"/>
  <c r="CK49" i="10" s="1"/>
  <c r="CK48" i="10"/>
  <c r="CN59" i="10"/>
  <c r="CN60" i="10" s="1"/>
  <c r="CM23" i="10"/>
  <c r="CM63" i="10"/>
  <c r="CM71" i="10"/>
  <c r="CM72" i="10" s="1"/>
  <c r="CK50" i="10" l="1"/>
  <c r="CK51" i="10" s="1"/>
  <c r="CM73" i="10"/>
  <c r="CM74" i="10" s="1"/>
  <c r="CN68" i="10" s="1"/>
  <c r="CN61" i="10"/>
  <c r="CN62" i="10" s="1"/>
  <c r="CO57" i="10" s="1"/>
  <c r="CM24" i="10"/>
  <c r="CK42" i="10"/>
  <c r="CK44" i="10" s="1"/>
  <c r="CL40" i="10"/>
  <c r="CL41" i="10" l="1"/>
  <c r="CL49" i="10" s="1"/>
  <c r="CL48" i="10"/>
  <c r="CM25" i="10"/>
  <c r="CN70" i="10"/>
  <c r="CO59" i="10"/>
  <c r="CO60" i="10" s="1"/>
  <c r="CN23" i="10"/>
  <c r="CN63" i="10"/>
  <c r="CN71" i="10"/>
  <c r="CM32" i="10"/>
  <c r="CM75" i="10"/>
  <c r="CL50" i="10" l="1"/>
  <c r="CL51" i="10" s="1"/>
  <c r="CL42" i="10"/>
  <c r="CL44" i="10" s="1"/>
  <c r="CN72" i="10"/>
  <c r="CN73" i="10" s="1"/>
  <c r="CN24" i="10"/>
  <c r="CN25" i="10" s="1"/>
  <c r="CO61" i="10"/>
  <c r="CO62" i="10" s="1"/>
  <c r="CP57" i="10" s="1"/>
  <c r="CM33" i="10"/>
  <c r="CP59" i="10" l="1"/>
  <c r="CP60" i="10" s="1"/>
  <c r="CM34" i="10"/>
  <c r="CM36" i="10" s="1"/>
  <c r="CO23" i="10"/>
  <c r="CO71" i="10"/>
  <c r="CO63" i="10"/>
  <c r="CN32" i="10"/>
  <c r="CN75" i="10"/>
  <c r="CN74" i="10"/>
  <c r="CO68" i="10" s="1"/>
  <c r="CP61" i="10" l="1"/>
  <c r="CO70" i="10"/>
  <c r="CO72" i="10" s="1"/>
  <c r="CN33" i="10"/>
  <c r="CO24" i="10"/>
  <c r="CO25" i="10" s="1"/>
  <c r="CM40" i="10"/>
  <c r="CO73" i="10" l="1"/>
  <c r="CO74" i="10" s="1"/>
  <c r="CP68" i="10" s="1"/>
  <c r="CM41" i="10"/>
  <c r="CM49" i="10" s="1"/>
  <c r="CM48" i="10"/>
  <c r="CN34" i="10"/>
  <c r="CN36" i="10" s="1"/>
  <c r="CP23" i="10"/>
  <c r="CP71" i="10"/>
  <c r="CP63" i="10"/>
  <c r="CP62" i="10"/>
  <c r="CQ57" i="10" s="1"/>
  <c r="CM50" i="10" l="1"/>
  <c r="CM51" i="10" s="1"/>
  <c r="CM42" i="10"/>
  <c r="CM44" i="10" s="1"/>
  <c r="CP24" i="10"/>
  <c r="CQ59" i="10"/>
  <c r="CQ60" i="10" s="1"/>
  <c r="CN40" i="10"/>
  <c r="CP70" i="10"/>
  <c r="CP72" i="10" s="1"/>
  <c r="CO32" i="10"/>
  <c r="CO75" i="10"/>
  <c r="CP73" i="10" l="1"/>
  <c r="CP74" i="10" s="1"/>
  <c r="CQ68" i="10" s="1"/>
  <c r="CO33" i="10"/>
  <c r="CN41" i="10"/>
  <c r="CN49" i="10" s="1"/>
  <c r="CN48" i="10"/>
  <c r="CQ61" i="10"/>
  <c r="CQ62" i="10" s="1"/>
  <c r="CR57" i="10" s="1"/>
  <c r="CP25" i="10"/>
  <c r="CN50" i="10" l="1"/>
  <c r="CN51" i="10" s="1"/>
  <c r="CN42" i="10"/>
  <c r="CN44" i="10" s="1"/>
  <c r="CR59" i="10"/>
  <c r="CR60" i="10" s="1"/>
  <c r="CQ70" i="10"/>
  <c r="CQ23" i="10"/>
  <c r="CQ71" i="10"/>
  <c r="CQ63" i="10"/>
  <c r="CO34" i="10"/>
  <c r="CO36" i="10" s="1"/>
  <c r="CP32" i="10"/>
  <c r="CP75" i="10"/>
  <c r="CQ72" i="10" l="1"/>
  <c r="CQ73" i="10" s="1"/>
  <c r="CR61" i="10"/>
  <c r="CO40" i="10"/>
  <c r="CP33" i="10"/>
  <c r="CP34" i="10" s="1"/>
  <c r="CP36" i="10" s="1"/>
  <c r="CQ24" i="10"/>
  <c r="CQ25" i="10" s="1"/>
  <c r="CQ74" i="10" l="1"/>
  <c r="CR68" i="10" s="1"/>
  <c r="CR70" i="10" s="1"/>
  <c r="CP40" i="10"/>
  <c r="CO41" i="10"/>
  <c r="CO49" i="10" s="1"/>
  <c r="CO48" i="10"/>
  <c r="CR23" i="10"/>
  <c r="CR71" i="10"/>
  <c r="CR63" i="10"/>
  <c r="CR62" i="10"/>
  <c r="CS57" i="10" s="1"/>
  <c r="CQ32" i="10"/>
  <c r="CQ75" i="10"/>
  <c r="CO50" i="10" l="1"/>
  <c r="CO51" i="10" s="1"/>
  <c r="CR72" i="10"/>
  <c r="CR73" i="10" s="1"/>
  <c r="CR74" i="10" s="1"/>
  <c r="CS68" i="10" s="1"/>
  <c r="CO42" i="10"/>
  <c r="CO44" i="10" s="1"/>
  <c r="CQ33" i="10"/>
  <c r="CQ34" i="10" s="1"/>
  <c r="CQ36" i="10" s="1"/>
  <c r="CS59" i="10"/>
  <c r="CS60" i="10" s="1"/>
  <c r="CR24" i="10"/>
  <c r="CP41" i="10"/>
  <c r="CP49" i="10" s="1"/>
  <c r="CP48" i="10"/>
  <c r="CP50" i="10" l="1"/>
  <c r="CP51" i="10" s="1"/>
  <c r="CP42" i="10"/>
  <c r="CP44" i="10" s="1"/>
  <c r="CS61" i="10"/>
  <c r="CQ40" i="10"/>
  <c r="CS70" i="10"/>
  <c r="CR25" i="10"/>
  <c r="CR32" i="10"/>
  <c r="CR75" i="10"/>
  <c r="CR33" i="10" l="1"/>
  <c r="CR34" i="10" s="1"/>
  <c r="CR36" i="10" s="1"/>
  <c r="CS23" i="10"/>
  <c r="CS71" i="10"/>
  <c r="CS72" i="10" s="1"/>
  <c r="CS63" i="10"/>
  <c r="CQ41" i="10"/>
  <c r="CQ49" i="10" s="1"/>
  <c r="CQ48" i="10"/>
  <c r="CS62" i="10"/>
  <c r="CT57" i="10" s="1"/>
  <c r="CQ50" i="10" l="1"/>
  <c r="CQ51" i="10" s="1"/>
  <c r="CQ42" i="10"/>
  <c r="CQ44" i="10" s="1"/>
  <c r="CR40" i="10"/>
  <c r="CT59" i="10"/>
  <c r="CT60" i="10" s="1"/>
  <c r="CS73" i="10"/>
  <c r="CS74" i="10" s="1"/>
  <c r="CT68" i="10" s="1"/>
  <c r="CS24" i="10"/>
  <c r="CS25" i="10" s="1"/>
  <c r="CT70" i="10" l="1"/>
  <c r="CT61" i="10"/>
  <c r="CS32" i="10"/>
  <c r="CS75" i="10"/>
  <c r="CR41" i="10"/>
  <c r="CR49" i="10" s="1"/>
  <c r="CR48" i="10"/>
  <c r="CR50" i="10" l="1"/>
  <c r="CR51" i="10" s="1"/>
  <c r="CR42" i="10"/>
  <c r="CR44" i="10" s="1"/>
  <c r="CS33" i="10"/>
  <c r="CS34" i="10" s="1"/>
  <c r="CS36" i="10" s="1"/>
  <c r="CT23" i="10"/>
  <c r="CT71" i="10"/>
  <c r="CT72" i="10" s="1"/>
  <c r="CT63" i="10"/>
  <c r="CT62" i="10"/>
  <c r="CU57" i="10" s="1"/>
  <c r="CT73" i="10" l="1"/>
  <c r="CT74" i="10" s="1"/>
  <c r="CU68" i="10" s="1"/>
  <c r="CS40" i="10"/>
  <c r="CU59" i="10"/>
  <c r="CU60" i="10" s="1"/>
  <c r="CT24" i="10"/>
  <c r="CU61" i="10" l="1"/>
  <c r="CT25" i="10"/>
  <c r="CU70" i="10"/>
  <c r="CS41" i="10"/>
  <c r="CS49" i="10" s="1"/>
  <c r="CS48" i="10"/>
  <c r="CT32" i="10"/>
  <c r="CT75" i="10"/>
  <c r="CS42" i="10" l="1"/>
  <c r="CS44" i="10" s="1"/>
  <c r="CS50" i="10"/>
  <c r="CS51" i="10" s="1"/>
  <c r="CU23" i="10"/>
  <c r="CU71" i="10"/>
  <c r="CU72" i="10" s="1"/>
  <c r="CU63" i="10"/>
  <c r="CT33" i="10"/>
  <c r="CT34" i="10" s="1"/>
  <c r="CT36" i="10" s="1"/>
  <c r="CU62" i="10"/>
  <c r="CV57" i="10" s="1"/>
  <c r="CV59" i="10" l="1"/>
  <c r="CV60" i="10" s="1"/>
  <c r="CT40" i="10"/>
  <c r="CU73" i="10"/>
  <c r="CU24" i="10"/>
  <c r="CU25" i="10" s="1"/>
  <c r="CU32" i="10" l="1"/>
  <c r="CU75" i="10"/>
  <c r="CV61" i="10"/>
  <c r="CU74" i="10"/>
  <c r="CV68" i="10" s="1"/>
  <c r="CT41" i="10"/>
  <c r="CT49" i="10" s="1"/>
  <c r="CT48" i="10"/>
  <c r="CT50" i="10" l="1"/>
  <c r="CT51" i="10" s="1"/>
  <c r="CT42" i="10"/>
  <c r="CT44" i="10" s="1"/>
  <c r="CV70" i="10"/>
  <c r="CV23" i="10"/>
  <c r="CV63" i="10"/>
  <c r="CV71" i="10"/>
  <c r="CV62" i="10"/>
  <c r="CW57" i="10" s="1"/>
  <c r="CU33" i="10"/>
  <c r="CV72" i="10" l="1"/>
  <c r="CV73" i="10" s="1"/>
  <c r="CV74" i="10" s="1"/>
  <c r="CW68" i="10" s="1"/>
  <c r="CU34" i="10"/>
  <c r="CU36" i="10" s="1"/>
  <c r="CW59" i="10"/>
  <c r="CW60" i="10" s="1"/>
  <c r="CV24" i="10"/>
  <c r="CW61" i="10" l="1"/>
  <c r="CW62" i="10" s="1"/>
  <c r="CX57" i="10" s="1"/>
  <c r="CW70" i="10"/>
  <c r="CV25" i="10"/>
  <c r="CU40" i="10"/>
  <c r="CV32" i="10"/>
  <c r="CV75" i="10"/>
  <c r="CV33" i="10" l="1"/>
  <c r="CV34" i="10" s="1"/>
  <c r="CV36" i="10" s="1"/>
  <c r="CX59" i="10"/>
  <c r="CX60" i="10" s="1"/>
  <c r="CU41" i="10"/>
  <c r="CU49" i="10" s="1"/>
  <c r="CU48" i="10"/>
  <c r="CW23" i="10"/>
  <c r="CW63" i="10"/>
  <c r="CW71" i="10"/>
  <c r="CW72" i="10" s="1"/>
  <c r="CU50" i="10" l="1"/>
  <c r="CU51" i="10" s="1"/>
  <c r="CW73" i="10"/>
  <c r="CW74" i="10" s="1"/>
  <c r="CX68" i="10" s="1"/>
  <c r="CU42" i="10"/>
  <c r="CU44" i="10" s="1"/>
  <c r="CV40" i="10"/>
  <c r="CW24" i="10"/>
  <c r="CW25" i="10" s="1"/>
  <c r="CX61" i="10"/>
  <c r="CX62" i="10" s="1"/>
  <c r="CY57" i="10" s="1"/>
  <c r="CY59" i="10" l="1"/>
  <c r="CY60" i="10" s="1"/>
  <c r="CX23" i="10"/>
  <c r="CX71" i="10"/>
  <c r="CX63" i="10"/>
  <c r="CV41" i="10"/>
  <c r="CV49" i="10" s="1"/>
  <c r="CV48" i="10"/>
  <c r="CX70" i="10"/>
  <c r="CW32" i="10"/>
  <c r="CW75" i="10"/>
  <c r="CX72" i="10" l="1"/>
  <c r="CX73" i="10" s="1"/>
  <c r="CX74" i="10" s="1"/>
  <c r="CY68" i="10" s="1"/>
  <c r="CV50" i="10"/>
  <c r="CV51" i="10" s="1"/>
  <c r="CW33" i="10"/>
  <c r="CY61" i="10"/>
  <c r="CY62" i="10" s="1"/>
  <c r="CZ57" i="10" s="1"/>
  <c r="CV42" i="10"/>
  <c r="CV44" i="10" s="1"/>
  <c r="CX24" i="10"/>
  <c r="CX25" i="10" s="1"/>
  <c r="CZ59" i="10" l="1"/>
  <c r="CZ60" i="10" s="1"/>
  <c r="CY70" i="10"/>
  <c r="CY23" i="10"/>
  <c r="CY63" i="10"/>
  <c r="CY71" i="10"/>
  <c r="CW34" i="10"/>
  <c r="CW36" i="10" s="1"/>
  <c r="CX32" i="10"/>
  <c r="CX75" i="10"/>
  <c r="CY72" i="10" l="1"/>
  <c r="CY73" i="10" s="1"/>
  <c r="CY74" i="10" s="1"/>
  <c r="CZ68" i="10" s="1"/>
  <c r="CX33" i="10"/>
  <c r="CX34" i="10" s="1"/>
  <c r="CX36" i="10" s="1"/>
  <c r="CW40" i="10"/>
  <c r="CZ61" i="10"/>
  <c r="CZ62" i="10" s="1"/>
  <c r="DA57" i="10" s="1"/>
  <c r="CY24" i="10"/>
  <c r="CY25" i="10" s="1"/>
  <c r="DA59" i="10" l="1"/>
  <c r="DA60" i="10" s="1"/>
  <c r="CW41" i="10"/>
  <c r="CW49" i="10" s="1"/>
  <c r="CW48" i="10"/>
  <c r="CX40" i="10"/>
  <c r="CZ70" i="10"/>
  <c r="CZ23" i="10"/>
  <c r="CZ63" i="10"/>
  <c r="CZ71" i="10"/>
  <c r="CY32" i="10"/>
  <c r="CY75" i="10"/>
  <c r="CW50" i="10" l="1"/>
  <c r="CW51" i="10" s="1"/>
  <c r="CZ72" i="10"/>
  <c r="CZ73" i="10" s="1"/>
  <c r="DA61" i="10"/>
  <c r="DA62" i="10" s="1"/>
  <c r="DB57" i="10" s="1"/>
  <c r="CX41" i="10"/>
  <c r="CX49" i="10" s="1"/>
  <c r="CX48" i="10"/>
  <c r="CY33" i="10"/>
  <c r="CY34" i="10" s="1"/>
  <c r="CY36" i="10" s="1"/>
  <c r="CZ24" i="10"/>
  <c r="CW42" i="10"/>
  <c r="CW44" i="10" s="1"/>
  <c r="CX50" i="10" l="1"/>
  <c r="CX51" i="10" s="1"/>
  <c r="CX42" i="10"/>
  <c r="CX44" i="10" s="1"/>
  <c r="CY40" i="10"/>
  <c r="CZ32" i="10"/>
  <c r="CZ75" i="10"/>
  <c r="CZ25" i="10"/>
  <c r="DB59" i="10"/>
  <c r="DB60" i="10" s="1"/>
  <c r="DA23" i="10"/>
  <c r="DA63" i="10"/>
  <c r="DA71" i="10"/>
  <c r="CZ74" i="10"/>
  <c r="DA68" i="10" s="1"/>
  <c r="DB61" i="10" l="1"/>
  <c r="DA70" i="10"/>
  <c r="DA72" i="10" s="1"/>
  <c r="CY41" i="10"/>
  <c r="CY49" i="10" s="1"/>
  <c r="CY48" i="10"/>
  <c r="DA24" i="10"/>
  <c r="DA25" i="10" s="1"/>
  <c r="CZ33" i="10"/>
  <c r="CZ34" i="10" s="1"/>
  <c r="CZ36" i="10" s="1"/>
  <c r="CY50" i="10" l="1"/>
  <c r="CY51" i="10" s="1"/>
  <c r="CY42" i="10"/>
  <c r="CY44" i="10" s="1"/>
  <c r="CZ40" i="10"/>
  <c r="DB23" i="10"/>
  <c r="DB71" i="10"/>
  <c r="DB63" i="10"/>
  <c r="DA73" i="10"/>
  <c r="DB62" i="10"/>
  <c r="DC57" i="10" s="1"/>
  <c r="DC59" i="10" l="1"/>
  <c r="DC60" i="10" s="1"/>
  <c r="DA32" i="10"/>
  <c r="DA75" i="10"/>
  <c r="DA74" i="10"/>
  <c r="DB68" i="10" s="1"/>
  <c r="DB24" i="10"/>
  <c r="DB25" i="10" s="1"/>
  <c r="CZ41" i="10"/>
  <c r="CZ49" i="10" s="1"/>
  <c r="CZ48" i="10"/>
  <c r="CZ50" i="10" l="1"/>
  <c r="CZ51" i="10" s="1"/>
  <c r="CZ42" i="10"/>
  <c r="CZ44" i="10" s="1"/>
  <c r="DC61" i="10"/>
  <c r="DB70" i="10"/>
  <c r="DB72" i="10" s="1"/>
  <c r="DA33" i="10"/>
  <c r="DA34" i="10" s="1"/>
  <c r="DA36" i="10" s="1"/>
  <c r="DA40" i="10" l="1"/>
  <c r="DB73" i="10"/>
  <c r="DB74" i="10" s="1"/>
  <c r="DC68" i="10" s="1"/>
  <c r="DC23" i="10"/>
  <c r="DC63" i="10"/>
  <c r="DC71" i="10"/>
  <c r="DC62" i="10"/>
  <c r="DD57" i="10" s="1"/>
  <c r="DC24" i="10" l="1"/>
  <c r="DC25" i="10" s="1"/>
  <c r="DD59" i="10"/>
  <c r="DD60" i="10" s="1"/>
  <c r="DC70" i="10"/>
  <c r="DC72" i="10" s="1"/>
  <c r="DB32" i="10"/>
  <c r="DB75" i="10"/>
  <c r="DA41" i="10"/>
  <c r="DA49" i="10" s="1"/>
  <c r="DA48" i="10"/>
  <c r="DA50" i="10" l="1"/>
  <c r="DA51" i="10" s="1"/>
  <c r="DA42" i="10"/>
  <c r="DA44" i="10" s="1"/>
  <c r="DD61" i="10"/>
  <c r="DC73" i="10"/>
  <c r="DC74" i="10" s="1"/>
  <c r="DD68" i="10" s="1"/>
  <c r="DB33" i="10"/>
  <c r="DB34" i="10" s="1"/>
  <c r="DB36" i="10" s="1"/>
  <c r="DB40" i="10" l="1"/>
  <c r="DD23" i="10"/>
  <c r="DD63" i="10"/>
  <c r="DD71" i="10"/>
  <c r="DD70" i="10"/>
  <c r="DC32" i="10"/>
  <c r="DC75" i="10"/>
  <c r="DD62" i="10"/>
  <c r="DE57" i="10" s="1"/>
  <c r="DD72" i="10" l="1"/>
  <c r="DD73" i="10" s="1"/>
  <c r="DD74" i="10" s="1"/>
  <c r="DE68" i="10" s="1"/>
  <c r="DE59" i="10"/>
  <c r="DE60" i="10" s="1"/>
  <c r="DC33" i="10"/>
  <c r="DD24" i="10"/>
  <c r="DD25" i="10" s="1"/>
  <c r="DB41" i="10"/>
  <c r="DB49" i="10" s="1"/>
  <c r="DB48" i="10"/>
  <c r="DB50" i="10" l="1"/>
  <c r="DB51" i="10" s="1"/>
  <c r="DB42" i="10"/>
  <c r="DB44" i="10" s="1"/>
  <c r="DE70" i="10"/>
  <c r="DE61" i="10"/>
  <c r="DE62" i="10" s="1"/>
  <c r="DF57" i="10" s="1"/>
  <c r="DD32" i="10"/>
  <c r="DD75" i="10"/>
  <c r="DC34" i="10"/>
  <c r="DC36" i="10" s="1"/>
  <c r="DC40" i="10" l="1"/>
  <c r="DD33" i="10"/>
  <c r="DD34" i="10" s="1"/>
  <c r="DD36" i="10" s="1"/>
  <c r="DF59" i="10"/>
  <c r="DF60" i="10" s="1"/>
  <c r="DE23" i="10"/>
  <c r="DE63" i="10"/>
  <c r="DE71" i="10"/>
  <c r="DE72" i="10" s="1"/>
  <c r="DF61" i="10" l="1"/>
  <c r="DE73" i="10"/>
  <c r="DE24" i="10"/>
  <c r="DE25" i="10" s="1"/>
  <c r="DD40" i="10"/>
  <c r="DC41" i="10"/>
  <c r="DC49" i="10" s="1"/>
  <c r="DC48" i="10"/>
  <c r="DC50" i="10" l="1"/>
  <c r="DC51" i="10" s="1"/>
  <c r="DC42" i="10"/>
  <c r="DC44" i="10" s="1"/>
  <c r="DF23" i="10"/>
  <c r="DF63" i="10"/>
  <c r="DF71" i="10"/>
  <c r="DD41" i="10"/>
  <c r="DD49" i="10" s="1"/>
  <c r="DD48" i="10"/>
  <c r="DE32" i="10"/>
  <c r="DE75" i="10"/>
  <c r="DE74" i="10"/>
  <c r="DF68" i="10" s="1"/>
  <c r="DF62" i="10"/>
  <c r="DG57" i="10" s="1"/>
  <c r="DD50" i="10" l="1"/>
  <c r="DD51" i="10" s="1"/>
  <c r="DD42" i="10"/>
  <c r="DD44" i="10" s="1"/>
  <c r="DF70" i="10"/>
  <c r="DF72" i="10" s="1"/>
  <c r="DE33" i="10"/>
  <c r="DE34" i="10" s="1"/>
  <c r="DE36" i="10" s="1"/>
  <c r="DG59" i="10"/>
  <c r="DG60" i="10" s="1"/>
  <c r="DF24" i="10"/>
  <c r="DG61" i="10" l="1"/>
  <c r="DG62" i="10" s="1"/>
  <c r="DH57" i="10" s="1"/>
  <c r="DF73" i="10"/>
  <c r="DF25" i="10"/>
  <c r="DE40" i="10"/>
  <c r="DE41" i="10" l="1"/>
  <c r="DE49" i="10" s="1"/>
  <c r="DE48" i="10"/>
  <c r="DH59" i="10"/>
  <c r="DH60" i="10" s="1"/>
  <c r="DF32" i="10"/>
  <c r="DF75" i="10"/>
  <c r="DF74" i="10"/>
  <c r="DG68" i="10" s="1"/>
  <c r="DG23" i="10"/>
  <c r="DG63" i="10"/>
  <c r="DG71" i="10"/>
  <c r="DE50" i="10" l="1"/>
  <c r="DE51" i="10" s="1"/>
  <c r="DE42" i="10"/>
  <c r="DE44" i="10" s="1"/>
  <c r="DH61" i="10"/>
  <c r="DH62" i="10" s="1"/>
  <c r="DI57" i="10" s="1"/>
  <c r="DG24" i="10"/>
  <c r="DG25" i="10" s="1"/>
  <c r="DG70" i="10"/>
  <c r="DG72" i="10" s="1"/>
  <c r="DF33" i="10"/>
  <c r="DG73" i="10" l="1"/>
  <c r="DG74" i="10" s="1"/>
  <c r="DH68" i="10" s="1"/>
  <c r="DI59" i="10"/>
  <c r="DI60" i="10" s="1"/>
  <c r="DF34" i="10"/>
  <c r="DF36" i="10" s="1"/>
  <c r="DH23" i="10"/>
  <c r="DH63" i="10"/>
  <c r="DH71" i="10"/>
  <c r="DI61" i="10" l="1"/>
  <c r="DI62" i="10" s="1"/>
  <c r="DJ57" i="10" s="1"/>
  <c r="DH24" i="10"/>
  <c r="DH25" i="10" s="1"/>
  <c r="DH70" i="10"/>
  <c r="DH72" i="10" s="1"/>
  <c r="DF40" i="10"/>
  <c r="DG32" i="10"/>
  <c r="DG75" i="10"/>
  <c r="DH73" i="10" l="1"/>
  <c r="DG33" i="10"/>
  <c r="DJ59" i="10"/>
  <c r="DJ60" i="10" s="1"/>
  <c r="DF41" i="10"/>
  <c r="DF49" i="10" s="1"/>
  <c r="DF48" i="10"/>
  <c r="DI23" i="10"/>
  <c r="DI71" i="10"/>
  <c r="DI63" i="10"/>
  <c r="DF50" i="10" l="1"/>
  <c r="DF51" i="10" s="1"/>
  <c r="DF42" i="10"/>
  <c r="DF44" i="10" s="1"/>
  <c r="DI24" i="10"/>
  <c r="DJ61" i="10"/>
  <c r="DH32" i="10"/>
  <c r="DH75" i="10"/>
  <c r="DG34" i="10"/>
  <c r="DG36" i="10" s="1"/>
  <c r="DH74" i="10"/>
  <c r="DI68" i="10" s="1"/>
  <c r="DI70" i="10" l="1"/>
  <c r="DI72" i="10" s="1"/>
  <c r="DH33" i="10"/>
  <c r="DG40" i="10"/>
  <c r="DJ23" i="10"/>
  <c r="DJ71" i="10"/>
  <c r="DJ63" i="10"/>
  <c r="DJ62" i="10"/>
  <c r="DK57" i="10" s="1"/>
  <c r="DI25" i="10"/>
  <c r="DI73" i="10" l="1"/>
  <c r="DK59" i="10"/>
  <c r="DK60" i="10" s="1"/>
  <c r="DJ24" i="10"/>
  <c r="DG41" i="10"/>
  <c r="DG49" i="10" s="1"/>
  <c r="DG48" i="10"/>
  <c r="DH34" i="10"/>
  <c r="DH36" i="10" s="1"/>
  <c r="DG50" i="10" l="1"/>
  <c r="DG51" i="10" s="1"/>
  <c r="DG42" i="10"/>
  <c r="DG44" i="10" s="1"/>
  <c r="DH40" i="10"/>
  <c r="DI32" i="10"/>
  <c r="DI75" i="10"/>
  <c r="DJ25" i="10"/>
  <c r="DK61" i="10"/>
  <c r="DK62" i="10" s="1"/>
  <c r="DL57" i="10" s="1"/>
  <c r="DI74" i="10"/>
  <c r="DJ68" i="10" s="1"/>
  <c r="DL59" i="10" l="1"/>
  <c r="DL60" i="10" s="1"/>
  <c r="DJ70" i="10"/>
  <c r="DJ72" i="10" s="1"/>
  <c r="DH41" i="10"/>
  <c r="DH49" i="10" s="1"/>
  <c r="DH48" i="10"/>
  <c r="DK23" i="10"/>
  <c r="DK71" i="10"/>
  <c r="DK63" i="10"/>
  <c r="DI33" i="10"/>
  <c r="DH50" i="10" l="1"/>
  <c r="DH51" i="10" s="1"/>
  <c r="DH42" i="10"/>
  <c r="DH44" i="10" s="1"/>
  <c r="DJ73" i="10"/>
  <c r="DL61" i="10"/>
  <c r="DI34" i="10"/>
  <c r="DI36" i="10" s="1"/>
  <c r="DK24" i="10"/>
  <c r="DK25" i="10" s="1"/>
  <c r="DI40" i="10" l="1"/>
  <c r="DJ32" i="10"/>
  <c r="DJ75" i="10"/>
  <c r="DL23" i="10"/>
  <c r="DL71" i="10"/>
  <c r="DL63" i="10"/>
  <c r="DL62" i="10"/>
  <c r="DM57" i="10" s="1"/>
  <c r="DJ74" i="10"/>
  <c r="DK68" i="10" s="1"/>
  <c r="DK70" i="10" l="1"/>
  <c r="DK72" i="10" s="1"/>
  <c r="DM59" i="10"/>
  <c r="DM60" i="10" s="1"/>
  <c r="DI41" i="10"/>
  <c r="DI49" i="10" s="1"/>
  <c r="DI48" i="10"/>
  <c r="DL24" i="10"/>
  <c r="DL25" i="10" s="1"/>
  <c r="DJ33" i="10"/>
  <c r="DJ34" i="10" s="1"/>
  <c r="DJ36" i="10" s="1"/>
  <c r="DI50" i="10" l="1"/>
  <c r="DI51" i="10" s="1"/>
  <c r="DK73" i="10"/>
  <c r="DJ40" i="10"/>
  <c r="DM61" i="10"/>
  <c r="DI42" i="10"/>
  <c r="DI44" i="10" s="1"/>
  <c r="DM23" i="10" l="1"/>
  <c r="DM71" i="10"/>
  <c r="DM63" i="10"/>
  <c r="DM62" i="10"/>
  <c r="DN57" i="10" s="1"/>
  <c r="DK32" i="10"/>
  <c r="DK75" i="10"/>
  <c r="DJ41" i="10"/>
  <c r="DJ49" i="10" s="1"/>
  <c r="DJ48" i="10"/>
  <c r="DK74" i="10"/>
  <c r="DL68" i="10" s="1"/>
  <c r="DJ50" i="10" l="1"/>
  <c r="DJ51" i="10" s="1"/>
  <c r="DL70" i="10"/>
  <c r="DL72" i="10" s="1"/>
  <c r="DJ42" i="10"/>
  <c r="DJ44" i="10" s="1"/>
  <c r="DK33" i="10"/>
  <c r="DK34" i="10" s="1"/>
  <c r="DK36" i="10" s="1"/>
  <c r="DN59" i="10"/>
  <c r="DN60" i="10" s="1"/>
  <c r="DM24" i="10"/>
  <c r="DM25" i="10" s="1"/>
  <c r="DN61" i="10" l="1"/>
  <c r="DK40" i="10"/>
  <c r="DL73" i="10"/>
  <c r="DL74" i="10" s="1"/>
  <c r="DM68" i="10" s="1"/>
  <c r="DM70" i="10" l="1"/>
  <c r="DM72" i="10" s="1"/>
  <c r="DL32" i="10"/>
  <c r="DL75" i="10"/>
  <c r="DN23" i="10"/>
  <c r="DN63" i="10"/>
  <c r="DN71" i="10"/>
  <c r="DK41" i="10"/>
  <c r="DK49" i="10" s="1"/>
  <c r="DK48" i="10"/>
  <c r="DN62" i="10"/>
  <c r="DO57" i="10" s="1"/>
  <c r="DK50" i="10" l="1"/>
  <c r="DK51" i="10" s="1"/>
  <c r="DO59" i="10"/>
  <c r="DO60" i="10" s="1"/>
  <c r="DK42" i="10"/>
  <c r="DK44" i="10" s="1"/>
  <c r="DN24" i="10"/>
  <c r="DN25" i="10" s="1"/>
  <c r="DM73" i="10"/>
  <c r="DL33" i="10"/>
  <c r="DL34" i="10" s="1"/>
  <c r="DL36" i="10" s="1"/>
  <c r="DL40" i="10" l="1"/>
  <c r="DM32" i="10"/>
  <c r="DM75" i="10"/>
  <c r="DM74" i="10"/>
  <c r="DN68" i="10" s="1"/>
  <c r="DO61" i="10"/>
  <c r="DO62" i="10" s="1"/>
  <c r="DP57" i="10" s="1"/>
  <c r="DP59" i="10" l="1"/>
  <c r="DP60" i="10" s="1"/>
  <c r="DN70" i="10"/>
  <c r="DN72" i="10" s="1"/>
  <c r="DL41" i="10"/>
  <c r="DL49" i="10" s="1"/>
  <c r="DL48" i="10"/>
  <c r="DO23" i="10"/>
  <c r="DO63" i="10"/>
  <c r="DO71" i="10"/>
  <c r="DM33" i="10"/>
  <c r="DM34" i="10" s="1"/>
  <c r="DM36" i="10" s="1"/>
  <c r="DL50" i="10" l="1"/>
  <c r="DL51" i="10" s="1"/>
  <c r="DL42" i="10"/>
  <c r="DL44" i="10" s="1"/>
  <c r="DM40" i="10"/>
  <c r="DO24" i="10"/>
  <c r="DO25" i="10" s="1"/>
  <c r="DP61" i="10"/>
  <c r="DN73" i="10"/>
  <c r="DP23" i="10" l="1"/>
  <c r="DP63" i="10"/>
  <c r="DP71" i="10"/>
  <c r="DN32" i="10"/>
  <c r="DN75" i="10"/>
  <c r="DM41" i="10"/>
  <c r="DM49" i="10" s="1"/>
  <c r="DM48" i="10"/>
  <c r="DN74" i="10"/>
  <c r="DO68" i="10" s="1"/>
  <c r="DP62" i="10"/>
  <c r="DQ57" i="10" s="1"/>
  <c r="DM50" i="10" l="1"/>
  <c r="DM51" i="10" s="1"/>
  <c r="DM42" i="10"/>
  <c r="DM44" i="10" s="1"/>
  <c r="DO70" i="10"/>
  <c r="DO72" i="10" s="1"/>
  <c r="DQ59" i="10"/>
  <c r="DQ60" i="10" s="1"/>
  <c r="DN33" i="10"/>
  <c r="DN34" i="10" s="1"/>
  <c r="DN36" i="10" s="1"/>
  <c r="DP24" i="10"/>
  <c r="DP25" i="10" s="1"/>
  <c r="DO73" i="10" l="1"/>
  <c r="DN40" i="10"/>
  <c r="DQ61" i="10"/>
  <c r="DQ23" i="10" l="1"/>
  <c r="DQ63" i="10"/>
  <c r="DQ71" i="10"/>
  <c r="DQ62" i="10"/>
  <c r="DR57" i="10" s="1"/>
  <c r="DO32" i="10"/>
  <c r="DO75" i="10"/>
  <c r="DN41" i="10"/>
  <c r="DN49" i="10" s="1"/>
  <c r="DN48" i="10"/>
  <c r="DO74" i="10"/>
  <c r="DP68" i="10" s="1"/>
  <c r="DN50" i="10" l="1"/>
  <c r="DN51" i="10" s="1"/>
  <c r="DP70" i="10"/>
  <c r="DP72" i="10" s="1"/>
  <c r="DN42" i="10"/>
  <c r="DN44" i="10" s="1"/>
  <c r="DO33" i="10"/>
  <c r="DR59" i="10"/>
  <c r="DR60" i="10" s="1"/>
  <c r="DQ24" i="10"/>
  <c r="DR61" i="10" l="1"/>
  <c r="DR62" i="10" s="1"/>
  <c r="DS57" i="10" s="1"/>
  <c r="DQ25" i="10"/>
  <c r="DP73" i="10"/>
  <c r="DP74" i="10" s="1"/>
  <c r="DQ68" i="10" s="1"/>
  <c r="DO34" i="10"/>
  <c r="DO36" i="10" s="1"/>
  <c r="DQ70" i="10" l="1"/>
  <c r="DQ72" i="10" s="1"/>
  <c r="DP32" i="10"/>
  <c r="DP75" i="10"/>
  <c r="DS59" i="10"/>
  <c r="DS60" i="10" s="1"/>
  <c r="DO40" i="10"/>
  <c r="DR23" i="10"/>
  <c r="DR63" i="10"/>
  <c r="DR71" i="10"/>
  <c r="DS61" i="10" l="1"/>
  <c r="DO41" i="10"/>
  <c r="DO49" i="10" s="1"/>
  <c r="DO48" i="10"/>
  <c r="DQ73" i="10"/>
  <c r="DR24" i="10"/>
  <c r="DR25" i="10" s="1"/>
  <c r="DP33" i="10"/>
  <c r="DP34" i="10" s="1"/>
  <c r="DP36" i="10" s="1"/>
  <c r="DO50" i="10" l="1"/>
  <c r="DO51" i="10" s="1"/>
  <c r="DQ32" i="10"/>
  <c r="DQ75" i="10"/>
  <c r="DQ74" i="10"/>
  <c r="DR68" i="10" s="1"/>
  <c r="DS23" i="10"/>
  <c r="DS63" i="10"/>
  <c r="DS71" i="10"/>
  <c r="DP40" i="10"/>
  <c r="DO42" i="10"/>
  <c r="DO44" i="10" s="1"/>
  <c r="DS62" i="10"/>
  <c r="DT57" i="10" s="1"/>
  <c r="DT59" i="10" l="1"/>
  <c r="DT60" i="10" s="1"/>
  <c r="DS24" i="10"/>
  <c r="DS25" i="10" s="1"/>
  <c r="DQ33" i="10"/>
  <c r="DQ34" i="10" s="1"/>
  <c r="DQ36" i="10" s="1"/>
  <c r="DP41" i="10"/>
  <c r="DP49" i="10" s="1"/>
  <c r="DP48" i="10"/>
  <c r="DR70" i="10"/>
  <c r="DR72" i="10" s="1"/>
  <c r="DP50" i="10" l="1"/>
  <c r="DP51" i="10" s="1"/>
  <c r="DQ40" i="10"/>
  <c r="DR73" i="10"/>
  <c r="DR74" i="10" s="1"/>
  <c r="DS68" i="10" s="1"/>
  <c r="DP42" i="10"/>
  <c r="DP44" i="10" s="1"/>
  <c r="DT61" i="10"/>
  <c r="DT23" i="10" l="1"/>
  <c r="DT63" i="10"/>
  <c r="DT71" i="10"/>
  <c r="DS70" i="10"/>
  <c r="DS72" i="10" s="1"/>
  <c r="DT62" i="10"/>
  <c r="DU57" i="10" s="1"/>
  <c r="DR32" i="10"/>
  <c r="DR75" i="10"/>
  <c r="DQ41" i="10"/>
  <c r="DQ49" i="10" s="1"/>
  <c r="DQ48" i="10"/>
  <c r="DQ50" i="10" l="1"/>
  <c r="DQ51" i="10" s="1"/>
  <c r="DQ42" i="10"/>
  <c r="DQ44" i="10" s="1"/>
  <c r="DU59" i="10"/>
  <c r="DU60" i="10" s="1"/>
  <c r="DR33" i="10"/>
  <c r="DR34" i="10" s="1"/>
  <c r="DR36" i="10" s="1"/>
  <c r="DS73" i="10"/>
  <c r="DS74" i="10" s="1"/>
  <c r="DT68" i="10" s="1"/>
  <c r="DT24" i="10"/>
  <c r="DT25" i="10" s="1"/>
  <c r="DT70" i="10" l="1"/>
  <c r="DT72" i="10" s="1"/>
  <c r="DR40" i="10"/>
  <c r="DU61" i="10"/>
  <c r="DU62" i="10" s="1"/>
  <c r="DV57" i="10" s="1"/>
  <c r="DS32" i="10"/>
  <c r="DS75" i="10"/>
  <c r="DV59" i="10" l="1"/>
  <c r="DV60" i="10" s="1"/>
  <c r="DS33" i="10"/>
  <c r="DU23" i="10"/>
  <c r="DU63" i="10"/>
  <c r="DU71" i="10"/>
  <c r="DT73" i="10"/>
  <c r="DT74" i="10" s="1"/>
  <c r="DU68" i="10" s="1"/>
  <c r="DR41" i="10"/>
  <c r="DR49" i="10" s="1"/>
  <c r="DR48" i="10"/>
  <c r="DR50" i="10" l="1"/>
  <c r="DR51" i="10" s="1"/>
  <c r="DR42" i="10"/>
  <c r="DR44" i="10" s="1"/>
  <c r="DU70" i="10"/>
  <c r="DU72" i="10" s="1"/>
  <c r="DV61" i="10"/>
  <c r="DV62" i="10" s="1"/>
  <c r="DW57" i="10" s="1"/>
  <c r="DT32" i="10"/>
  <c r="DT75" i="10"/>
  <c r="DU24" i="10"/>
  <c r="DU25" i="10" s="1"/>
  <c r="DS34" i="10"/>
  <c r="DS36" i="10" s="1"/>
  <c r="DS40" i="10" l="1"/>
  <c r="DT33" i="10"/>
  <c r="DW59" i="10"/>
  <c r="DW60" i="10" s="1"/>
  <c r="DU73" i="10"/>
  <c r="DU74" i="10" s="1"/>
  <c r="DV68" i="10" s="1"/>
  <c r="DV23" i="10"/>
  <c r="DV71" i="10"/>
  <c r="DV63" i="10"/>
  <c r="DW61" i="10" l="1"/>
  <c r="DV24" i="10"/>
  <c r="DV25" i="10" s="1"/>
  <c r="DU32" i="10"/>
  <c r="DU75" i="10"/>
  <c r="DV70" i="10"/>
  <c r="DV72" i="10" s="1"/>
  <c r="DT34" i="10"/>
  <c r="DT36" i="10" s="1"/>
  <c r="DS41" i="10"/>
  <c r="DS49" i="10" s="1"/>
  <c r="DS48" i="10"/>
  <c r="DS50" i="10" l="1"/>
  <c r="DS51" i="10" s="1"/>
  <c r="DS42" i="10"/>
  <c r="DS44" i="10" s="1"/>
  <c r="DV73" i="10"/>
  <c r="DV74" i="10" s="1"/>
  <c r="DW68" i="10" s="1"/>
  <c r="DT40" i="10"/>
  <c r="DW23" i="10"/>
  <c r="DW63" i="10"/>
  <c r="DW71" i="10"/>
  <c r="DU33" i="10"/>
  <c r="DU34" i="10" s="1"/>
  <c r="DU36" i="10" s="1"/>
  <c r="DW62" i="10"/>
  <c r="DX57" i="10" s="1"/>
  <c r="DX59" i="10" l="1"/>
  <c r="DX60" i="10" s="1"/>
  <c r="DU40" i="10"/>
  <c r="DW70" i="10"/>
  <c r="DW72" i="10" s="1"/>
  <c r="DW24" i="10"/>
  <c r="DW25" i="10" s="1"/>
  <c r="DT41" i="10"/>
  <c r="DT49" i="10" s="1"/>
  <c r="DT48" i="10"/>
  <c r="DV32" i="10"/>
  <c r="DV75" i="10"/>
  <c r="DT50" i="10" l="1"/>
  <c r="DT51" i="10" s="1"/>
  <c r="DT42" i="10"/>
  <c r="DT44" i="10" s="1"/>
  <c r="DW73" i="10"/>
  <c r="DW74" i="10" s="1"/>
  <c r="DX68" i="10" s="1"/>
  <c r="DX61" i="10"/>
  <c r="DV33" i="10"/>
  <c r="DV34" i="10" s="1"/>
  <c r="DV36" i="10" s="1"/>
  <c r="DU41" i="10"/>
  <c r="DU49" i="10" s="1"/>
  <c r="DU48" i="10"/>
  <c r="DU50" i="10" l="1"/>
  <c r="DU51" i="10" s="1"/>
  <c r="DU42" i="10"/>
  <c r="DU44" i="10" s="1"/>
  <c r="DV40" i="10"/>
  <c r="DX70" i="10"/>
  <c r="DX23" i="10"/>
  <c r="DX63" i="10"/>
  <c r="DX71" i="10"/>
  <c r="DX62" i="10"/>
  <c r="DY57" i="10" s="1"/>
  <c r="DW32" i="10"/>
  <c r="DW75" i="10"/>
  <c r="DX72" i="10" l="1"/>
  <c r="DX73" i="10" s="1"/>
  <c r="DX74" i="10" s="1"/>
  <c r="DY68" i="10" s="1"/>
  <c r="DW33" i="10"/>
  <c r="DY59" i="10"/>
  <c r="DY60" i="10" s="1"/>
  <c r="DX24" i="10"/>
  <c r="DX25" i="10" s="1"/>
  <c r="DV41" i="10"/>
  <c r="DV49" i="10" s="1"/>
  <c r="DV48" i="10"/>
  <c r="DV50" i="10" l="1"/>
  <c r="DV51" i="10" s="1"/>
  <c r="DY61" i="10"/>
  <c r="DV42" i="10"/>
  <c r="DV44" i="10" s="1"/>
  <c r="DY70" i="10"/>
  <c r="DW34" i="10"/>
  <c r="DW36" i="10" s="1"/>
  <c r="DX32" i="10"/>
  <c r="DX75" i="10"/>
  <c r="DX33" i="10" l="1"/>
  <c r="DX34" i="10" s="1"/>
  <c r="DX36" i="10" s="1"/>
  <c r="DY23" i="10"/>
  <c r="DY63" i="10"/>
  <c r="DY71" i="10"/>
  <c r="DY72" i="10" s="1"/>
  <c r="DW40" i="10"/>
  <c r="DY62" i="10"/>
  <c r="DZ57" i="10" s="1"/>
  <c r="DW41" i="10" l="1"/>
  <c r="DW49" i="10" s="1"/>
  <c r="DW48" i="10"/>
  <c r="DZ59" i="10"/>
  <c r="DZ60" i="10" s="1"/>
  <c r="DY73" i="10"/>
  <c r="DY24" i="10"/>
  <c r="DX40" i="10"/>
  <c r="DW50" i="10" l="1"/>
  <c r="DW51" i="10" s="1"/>
  <c r="DW42" i="10"/>
  <c r="DW44" i="10" s="1"/>
  <c r="DZ61" i="10"/>
  <c r="DZ62" i="10" s="1"/>
  <c r="EA57" i="10" s="1"/>
  <c r="DX41" i="10"/>
  <c r="DX49" i="10" s="1"/>
  <c r="DX48" i="10"/>
  <c r="DY32" i="10"/>
  <c r="DY75" i="10"/>
  <c r="DY25" i="10"/>
  <c r="DY74" i="10"/>
  <c r="DZ68" i="10" s="1"/>
  <c r="DX50" i="10" l="1"/>
  <c r="DX51" i="10" s="1"/>
  <c r="DX42" i="10"/>
  <c r="DX44" i="10" s="1"/>
  <c r="DZ70" i="10"/>
  <c r="DY33" i="10"/>
  <c r="DY34" i="10" s="1"/>
  <c r="DY36" i="10" s="1"/>
  <c r="EA59" i="10"/>
  <c r="EA60" i="10" s="1"/>
  <c r="DZ23" i="10"/>
  <c r="DZ63" i="10"/>
  <c r="DZ71" i="10"/>
  <c r="DZ72" i="10" l="1"/>
  <c r="DZ73" i="10" s="1"/>
  <c r="EA61" i="10"/>
  <c r="EA62" i="10" s="1"/>
  <c r="EB57" i="10" s="1"/>
  <c r="DZ24" i="10"/>
  <c r="DY40" i="10"/>
  <c r="DZ25" i="10" l="1"/>
  <c r="EB59" i="10"/>
  <c r="EB60" i="10" s="1"/>
  <c r="DY41" i="10"/>
  <c r="DY49" i="10" s="1"/>
  <c r="DY48" i="10"/>
  <c r="DZ32" i="10"/>
  <c r="DZ75" i="10"/>
  <c r="DZ74" i="10"/>
  <c r="EA68" i="10" s="1"/>
  <c r="EA23" i="10"/>
  <c r="EA63" i="10"/>
  <c r="EA71" i="10"/>
  <c r="DY50" i="10" l="1"/>
  <c r="DY51" i="10" s="1"/>
  <c r="DY42" i="10"/>
  <c r="DY44" i="10" s="1"/>
  <c r="EB61" i="10"/>
  <c r="EB62" i="10" s="1"/>
  <c r="EC57" i="10" s="1"/>
  <c r="EA24" i="10"/>
  <c r="EA70" i="10"/>
  <c r="EA72" i="10" s="1"/>
  <c r="DZ33" i="10"/>
  <c r="DZ34" i="10" s="1"/>
  <c r="DZ36" i="10" s="1"/>
  <c r="EA73" i="10" l="1"/>
  <c r="DZ40" i="10"/>
  <c r="EC59" i="10"/>
  <c r="EC60" i="10" s="1"/>
  <c r="EA25" i="10"/>
  <c r="EB23" i="10"/>
  <c r="EB63" i="10"/>
  <c r="EB71" i="10"/>
  <c r="EC61" i="10" l="1"/>
  <c r="EC62" i="10" s="1"/>
  <c r="ED57" i="10" s="1"/>
  <c r="EB24" i="10"/>
  <c r="EB25" i="10" s="1"/>
  <c r="EA32" i="10"/>
  <c r="EA75" i="10"/>
  <c r="DZ41" i="10"/>
  <c r="DZ49" i="10" s="1"/>
  <c r="DZ48" i="10"/>
  <c r="EA74" i="10"/>
  <c r="EB68" i="10" s="1"/>
  <c r="DZ50" i="10" l="1"/>
  <c r="DZ51" i="10" s="1"/>
  <c r="EB70" i="10"/>
  <c r="EB72" i="10" s="1"/>
  <c r="DZ42" i="10"/>
  <c r="DZ44" i="10" s="1"/>
  <c r="ED59" i="10"/>
  <c r="ED60" i="10" s="1"/>
  <c r="EA33" i="10"/>
  <c r="EA34" i="10" s="1"/>
  <c r="EA36" i="10" s="1"/>
  <c r="EC23" i="10"/>
  <c r="EC71" i="10"/>
  <c r="EC63" i="10"/>
  <c r="EA40" i="10" l="1"/>
  <c r="ED61" i="10"/>
  <c r="EB73" i="10"/>
  <c r="EB74" i="10" s="1"/>
  <c r="EC68" i="10" s="1"/>
  <c r="EC24" i="10"/>
  <c r="EC70" i="10" l="1"/>
  <c r="EC72" i="10" s="1"/>
  <c r="EC25" i="10"/>
  <c r="EB32" i="10"/>
  <c r="EB75" i="10"/>
  <c r="ED23" i="10"/>
  <c r="ED71" i="10"/>
  <c r="ED63" i="10"/>
  <c r="ED62" i="10"/>
  <c r="EE57" i="10" s="1"/>
  <c r="EA41" i="10"/>
  <c r="EA49" i="10" s="1"/>
  <c r="EA48" i="10"/>
  <c r="EA50" i="10" l="1"/>
  <c r="EA51" i="10" s="1"/>
  <c r="EA42" i="10"/>
  <c r="EA44" i="10" s="1"/>
  <c r="EC73" i="10"/>
  <c r="EE59" i="10"/>
  <c r="EE60" i="10" s="1"/>
  <c r="ED24" i="10"/>
  <c r="EB33" i="10"/>
  <c r="EB34" i="10" s="1"/>
  <c r="EB36" i="10" s="1"/>
  <c r="EB40" i="10" l="1"/>
  <c r="EE61" i="10"/>
  <c r="ED25" i="10"/>
  <c r="EC32" i="10"/>
  <c r="EC75" i="10"/>
  <c r="EC74" i="10"/>
  <c r="ED68" i="10" s="1"/>
  <c r="EC33" i="10" l="1"/>
  <c r="ED70" i="10"/>
  <c r="ED72" i="10" s="1"/>
  <c r="EE23" i="10"/>
  <c r="EE71" i="10"/>
  <c r="EE63" i="10"/>
  <c r="EE62" i="10"/>
  <c r="EF57" i="10" s="1"/>
  <c r="EB41" i="10"/>
  <c r="EB49" i="10" s="1"/>
  <c r="EB48" i="10"/>
  <c r="EB50" i="10" l="1"/>
  <c r="EB51" i="10" s="1"/>
  <c r="EB42" i="10"/>
  <c r="EB44" i="10" s="1"/>
  <c r="ED73" i="10"/>
  <c r="EF59" i="10"/>
  <c r="EF60" i="10" s="1"/>
  <c r="EE24" i="10"/>
  <c r="EE25" i="10" s="1"/>
  <c r="EC34" i="10"/>
  <c r="EC36" i="10" s="1"/>
  <c r="EF61" i="10" l="1"/>
  <c r="EC40" i="10"/>
  <c r="ED32" i="10"/>
  <c r="ED75" i="10"/>
  <c r="ED74" i="10"/>
  <c r="EE68" i="10" s="1"/>
  <c r="EE70" i="10" l="1"/>
  <c r="EE72" i="10" s="1"/>
  <c r="EC41" i="10"/>
  <c r="EC49" i="10" s="1"/>
  <c r="EC48" i="10"/>
  <c r="ED33" i="10"/>
  <c r="EF23" i="10"/>
  <c r="EF71" i="10"/>
  <c r="EF63" i="10"/>
  <c r="EF62" i="10"/>
  <c r="EG57" i="10" s="1"/>
  <c r="EC50" i="10" l="1"/>
  <c r="EC51" i="10" s="1"/>
  <c r="EC42" i="10"/>
  <c r="EC44" i="10" s="1"/>
  <c r="EE73" i="10"/>
  <c r="EF24" i="10"/>
  <c r="EF25" i="10" s="1"/>
  <c r="ED34" i="10"/>
  <c r="ED36" i="10" s="1"/>
  <c r="EG59" i="10"/>
  <c r="EG60" i="10" s="1"/>
  <c r="EG61" i="10" l="1"/>
  <c r="ED40" i="10"/>
  <c r="EE32" i="10"/>
  <c r="EE75" i="10"/>
  <c r="EE74" i="10"/>
  <c r="EF68" i="10" s="1"/>
  <c r="EF70" i="10" l="1"/>
  <c r="EF72" i="10" s="1"/>
  <c r="EE33" i="10"/>
  <c r="EE34" i="10" s="1"/>
  <c r="EE36" i="10" s="1"/>
  <c r="ED41" i="10"/>
  <c r="ED49" i="10" s="1"/>
  <c r="ED48" i="10"/>
  <c r="EG23" i="10"/>
  <c r="EG71" i="10"/>
  <c r="EG63" i="10"/>
  <c r="EG62" i="10"/>
  <c r="EH57" i="10" s="1"/>
  <c r="ED50" i="10" l="1"/>
  <c r="ED51" i="10" s="1"/>
  <c r="ED42" i="10"/>
  <c r="ED44" i="10" s="1"/>
  <c r="EH59" i="10"/>
  <c r="EH60" i="10" s="1"/>
  <c r="EE40" i="10"/>
  <c r="EG24" i="10"/>
  <c r="EG25" i="10" s="1"/>
  <c r="EF73" i="10"/>
  <c r="EF74" i="10" s="1"/>
  <c r="EG68" i="10" s="1"/>
  <c r="EG70" i="10" l="1"/>
  <c r="EG72" i="10" s="1"/>
  <c r="EH61" i="10"/>
  <c r="EF32" i="10"/>
  <c r="EF75" i="10"/>
  <c r="EE41" i="10"/>
  <c r="EE49" i="10" s="1"/>
  <c r="EE48" i="10"/>
  <c r="EE50" i="10" l="1"/>
  <c r="EE51" i="10" s="1"/>
  <c r="EE42" i="10"/>
  <c r="EE44" i="10" s="1"/>
  <c r="EH23" i="10"/>
  <c r="EH71" i="10"/>
  <c r="EH63" i="10"/>
  <c r="EF33" i="10"/>
  <c r="EF34" i="10" s="1"/>
  <c r="EF36" i="10" s="1"/>
  <c r="EH62" i="10"/>
  <c r="EI57" i="10" s="1"/>
  <c r="EG73" i="10"/>
  <c r="EG74" i="10" s="1"/>
  <c r="EH68" i="10" s="1"/>
  <c r="EH70" i="10" l="1"/>
  <c r="EH72" i="10" s="1"/>
  <c r="EG32" i="10"/>
  <c r="EG75" i="10"/>
  <c r="EF40" i="10"/>
  <c r="EI59" i="10"/>
  <c r="EI60" i="10" s="1"/>
  <c r="EH24" i="10"/>
  <c r="EH25" i="10" s="1"/>
  <c r="EI61" i="10" l="1"/>
  <c r="EI62" i="10" s="1"/>
  <c r="EJ57" i="10" s="1"/>
  <c r="EF41" i="10"/>
  <c r="EF49" i="10" s="1"/>
  <c r="EF48" i="10"/>
  <c r="EG33" i="10"/>
  <c r="EG34" i="10" s="1"/>
  <c r="EG36" i="10" s="1"/>
  <c r="EH73" i="10"/>
  <c r="EF50" i="10" l="1"/>
  <c r="EF51" i="10" s="1"/>
  <c r="EF42" i="10"/>
  <c r="EF44" i="10" s="1"/>
  <c r="EH32" i="10"/>
  <c r="EH75" i="10"/>
  <c r="EG40" i="10"/>
  <c r="EJ59" i="10"/>
  <c r="EJ60" i="10" s="1"/>
  <c r="EH74" i="10"/>
  <c r="EI68" i="10" s="1"/>
  <c r="EI23" i="10"/>
  <c r="EI71" i="10"/>
  <c r="EI63" i="10"/>
  <c r="EI24" i="10" l="1"/>
  <c r="EI25" i="10" s="1"/>
  <c r="EJ61" i="10"/>
  <c r="EI70" i="10"/>
  <c r="EI72" i="10" s="1"/>
  <c r="EG41" i="10"/>
  <c r="EG49" i="10" s="1"/>
  <c r="EG48" i="10"/>
  <c r="EH33" i="10"/>
  <c r="EH34" i="10" s="1"/>
  <c r="EH36" i="10" s="1"/>
  <c r="EG50" i="10" l="1"/>
  <c r="EG51" i="10" s="1"/>
  <c r="EH40" i="10"/>
  <c r="EG42" i="10"/>
  <c r="EG44" i="10" s="1"/>
  <c r="EI73" i="10"/>
  <c r="EJ23" i="10"/>
  <c r="EJ63" i="10"/>
  <c r="EJ71" i="10"/>
  <c r="EJ62" i="10"/>
  <c r="EK57" i="10" s="1"/>
  <c r="EJ24" i="10" l="1"/>
  <c r="EK59" i="10"/>
  <c r="EK60" i="10" s="1"/>
  <c r="EI32" i="10"/>
  <c r="EI75" i="10"/>
  <c r="EI74" i="10"/>
  <c r="EJ68" i="10" s="1"/>
  <c r="EH41" i="10"/>
  <c r="EH49" i="10" s="1"/>
  <c r="EH48" i="10"/>
  <c r="EH50" i="10" l="1"/>
  <c r="EH51" i="10" s="1"/>
  <c r="EH42" i="10"/>
  <c r="EH44" i="10" s="1"/>
  <c r="EJ70" i="10"/>
  <c r="EJ72" i="10" s="1"/>
  <c r="EK61" i="10"/>
  <c r="EI33" i="10"/>
  <c r="EJ25" i="10"/>
  <c r="EK23" i="10" l="1"/>
  <c r="EK63" i="10"/>
  <c r="EK71" i="10"/>
  <c r="EI34" i="10"/>
  <c r="EI36" i="10" s="1"/>
  <c r="EK62" i="10"/>
  <c r="EL57" i="10" s="1"/>
  <c r="EJ73" i="10"/>
  <c r="EJ74" i="10" s="1"/>
  <c r="EK68" i="10" s="1"/>
  <c r="EK70" i="10" l="1"/>
  <c r="EK72" i="10" s="1"/>
  <c r="EL59" i="10"/>
  <c r="EL60" i="10" s="1"/>
  <c r="EJ32" i="10"/>
  <c r="EJ75" i="10"/>
  <c r="EI40" i="10"/>
  <c r="EK24" i="10"/>
  <c r="EI41" i="10" l="1"/>
  <c r="EI49" i="10" s="1"/>
  <c r="EI48" i="10"/>
  <c r="EJ33" i="10"/>
  <c r="EJ34" i="10" s="1"/>
  <c r="EJ36" i="10" s="1"/>
  <c r="EK25" i="10"/>
  <c r="EL61" i="10"/>
  <c r="EL62" i="10" s="1"/>
  <c r="EM57" i="10" s="1"/>
  <c r="EK73" i="10"/>
  <c r="EM59" i="10" l="1"/>
  <c r="EM60" i="10" s="1"/>
  <c r="EK32" i="10"/>
  <c r="EK75" i="10"/>
  <c r="EJ40" i="10"/>
  <c r="EK74" i="10"/>
  <c r="EL68" i="10" s="1"/>
  <c r="EL23" i="10"/>
  <c r="EL63" i="10"/>
  <c r="EL71" i="10"/>
  <c r="EI50" i="10"/>
  <c r="EI51" i="10" s="1"/>
  <c r="EI42" i="10"/>
  <c r="EI44" i="10" s="1"/>
  <c r="EM61" i="10" l="1"/>
  <c r="EM62" i="10" s="1"/>
  <c r="EN57" i="10" s="1"/>
  <c r="EK33" i="10"/>
  <c r="EK34" i="10" s="1"/>
  <c r="EK36" i="10" s="1"/>
  <c r="EL24" i="10"/>
  <c r="EJ41" i="10"/>
  <c r="EJ49" i="10" s="1"/>
  <c r="EJ48" i="10"/>
  <c r="EL70" i="10"/>
  <c r="EL72" i="10" s="1"/>
  <c r="EJ50" i="10" l="1"/>
  <c r="EJ51" i="10" s="1"/>
  <c r="EL73" i="10"/>
  <c r="EL74" i="10" s="1"/>
  <c r="EM68" i="10" s="1"/>
  <c r="EK40" i="10"/>
  <c r="EJ42" i="10"/>
  <c r="EJ44" i="10" s="1"/>
  <c r="EL25" i="10"/>
  <c r="EN59" i="10"/>
  <c r="EN60" i="10" s="1"/>
  <c r="EM23" i="10"/>
  <c r="EM63" i="10"/>
  <c r="EM71" i="10"/>
  <c r="EN61" i="10" l="1"/>
  <c r="EN62" i="10" s="1"/>
  <c r="EO57" i="10" s="1"/>
  <c r="EM24" i="10"/>
  <c r="EM25" i="10" s="1"/>
  <c r="EM70" i="10"/>
  <c r="EM72" i="10" s="1"/>
  <c r="EK41" i="10"/>
  <c r="EK49" i="10" s="1"/>
  <c r="EK48" i="10"/>
  <c r="EL32" i="10"/>
  <c r="EL75" i="10"/>
  <c r="EM73" i="10" l="1"/>
  <c r="EM74" i="10" s="1"/>
  <c r="EN68" i="10" s="1"/>
  <c r="EL33" i="10"/>
  <c r="EO59" i="10"/>
  <c r="EO60" i="10" s="1"/>
  <c r="EK50" i="10"/>
  <c r="EK51" i="10" s="1"/>
  <c r="EK42" i="10"/>
  <c r="EK44" i="10" s="1"/>
  <c r="EN23" i="10"/>
  <c r="EN63" i="10"/>
  <c r="EN71" i="10"/>
  <c r="EO61" i="10" l="1"/>
  <c r="EO62" i="10" s="1"/>
  <c r="EP57" i="10" s="1"/>
  <c r="EN24" i="10"/>
  <c r="EN25" i="10" s="1"/>
  <c r="EN70" i="10"/>
  <c r="EN72" i="10" s="1"/>
  <c r="EL34" i="10"/>
  <c r="EL36" i="10" s="1"/>
  <c r="EM32" i="10"/>
  <c r="EM75" i="10"/>
  <c r="EN73" i="10" l="1"/>
  <c r="EN74" i="10" s="1"/>
  <c r="EO68" i="10" s="1"/>
  <c r="EL40" i="10"/>
  <c r="EP59" i="10"/>
  <c r="EP60" i="10" s="1"/>
  <c r="EM33" i="10"/>
  <c r="EM34" i="10" s="1"/>
  <c r="EM36" i="10" s="1"/>
  <c r="EO23" i="10"/>
  <c r="EO63" i="10"/>
  <c r="EO71" i="10"/>
  <c r="EM40" i="10" l="1"/>
  <c r="EO24" i="10"/>
  <c r="EO25" i="10" s="1"/>
  <c r="EP61" i="10"/>
  <c r="EO70" i="10"/>
  <c r="EO72" i="10" s="1"/>
  <c r="EL41" i="10"/>
  <c r="EL49" i="10" s="1"/>
  <c r="EL48" i="10"/>
  <c r="EN32" i="10"/>
  <c r="EN75" i="10"/>
  <c r="EL50" i="10" l="1"/>
  <c r="EL51" i="10" s="1"/>
  <c r="EO73" i="10"/>
  <c r="EO74" i="10" s="1"/>
  <c r="EP68" i="10" s="1"/>
  <c r="EN33" i="10"/>
  <c r="EP23" i="10"/>
  <c r="EP71" i="10"/>
  <c r="EP63" i="10"/>
  <c r="EM41" i="10"/>
  <c r="EM49" i="10" s="1"/>
  <c r="EM48" i="10"/>
  <c r="EL42" i="10"/>
  <c r="EL44" i="10" s="1"/>
  <c r="EP62" i="10"/>
  <c r="EQ57" i="10" s="1"/>
  <c r="EM50" i="10" l="1"/>
  <c r="EM51" i="10" s="1"/>
  <c r="EP24" i="10"/>
  <c r="EP25" i="10" s="1"/>
  <c r="EP70" i="10"/>
  <c r="EP72" i="10" s="1"/>
  <c r="EQ59" i="10"/>
  <c r="EQ60" i="10" s="1"/>
  <c r="EM42" i="10"/>
  <c r="EM44" i="10" s="1"/>
  <c r="EN34" i="10"/>
  <c r="EN36" i="10" s="1"/>
  <c r="EO32" i="10"/>
  <c r="EO75" i="10"/>
  <c r="EQ61" i="10" l="1"/>
  <c r="EO33" i="10"/>
  <c r="EN40" i="10"/>
  <c r="EP73" i="10"/>
  <c r="EP74" i="10" s="1"/>
  <c r="EQ68" i="10" s="1"/>
  <c r="EQ70" i="10" l="1"/>
  <c r="EP32" i="10"/>
  <c r="EP75" i="10"/>
  <c r="EN41" i="10"/>
  <c r="EN49" i="10" s="1"/>
  <c r="EN48" i="10"/>
  <c r="EO34" i="10"/>
  <c r="EO36" i="10" s="1"/>
  <c r="EQ23" i="10"/>
  <c r="EQ63" i="10"/>
  <c r="EQ71" i="10"/>
  <c r="EQ62" i="10"/>
  <c r="ER57" i="10" s="1"/>
  <c r="EQ72" i="10" l="1"/>
  <c r="EQ73" i="10" s="1"/>
  <c r="EQ74" i="10" s="1"/>
  <c r="ER68" i="10" s="1"/>
  <c r="EQ24" i="10"/>
  <c r="EQ25" i="10" s="1"/>
  <c r="ER59" i="10"/>
  <c r="ER60" i="10" s="1"/>
  <c r="EO40" i="10"/>
  <c r="EN42" i="10"/>
  <c r="EN44" i="10" s="1"/>
  <c r="EP33" i="10"/>
  <c r="EP34" i="10" s="1"/>
  <c r="EP36" i="10" s="1"/>
  <c r="EN50" i="10"/>
  <c r="EN51" i="10" s="1"/>
  <c r="ER61" i="10" l="1"/>
  <c r="EP40" i="10"/>
  <c r="EO41" i="10"/>
  <c r="EO49" i="10" s="1"/>
  <c r="EO48" i="10"/>
  <c r="ER70" i="10"/>
  <c r="EQ32" i="10"/>
  <c r="EQ75" i="10"/>
  <c r="EO50" i="10" l="1"/>
  <c r="EO51" i="10" s="1"/>
  <c r="EO42" i="10"/>
  <c r="EO44" i="10" s="1"/>
  <c r="EQ33" i="10"/>
  <c r="EP41" i="10"/>
  <c r="EP49" i="10" s="1"/>
  <c r="EP48" i="10"/>
  <c r="ER23" i="10"/>
  <c r="ER63" i="10"/>
  <c r="ER71" i="10"/>
  <c r="ER72" i="10" s="1"/>
  <c r="ER62" i="10"/>
  <c r="ES57" i="10" s="1"/>
  <c r="EP50" i="10" l="1"/>
  <c r="EP51" i="10" s="1"/>
  <c r="ER73" i="10"/>
  <c r="ER74" i="10" s="1"/>
  <c r="ES68" i="10" s="1"/>
  <c r="ER24" i="10"/>
  <c r="ER25" i="10" s="1"/>
  <c r="ES59" i="10"/>
  <c r="ES60" i="10" s="1"/>
  <c r="EP42" i="10"/>
  <c r="EP44" i="10" s="1"/>
  <c r="EQ34" i="10"/>
  <c r="EQ36" i="10" s="1"/>
  <c r="ES61" i="10" l="1"/>
  <c r="EQ40" i="10"/>
  <c r="ES70" i="10"/>
  <c r="ER32" i="10"/>
  <c r="ER75" i="10"/>
  <c r="ES23" i="10" l="1"/>
  <c r="ES63" i="10"/>
  <c r="ES71" i="10"/>
  <c r="ES72" i="10" s="1"/>
  <c r="ER33" i="10"/>
  <c r="ER34" i="10" s="1"/>
  <c r="ER36" i="10" s="1"/>
  <c r="EQ41" i="10"/>
  <c r="EQ49" i="10" s="1"/>
  <c r="EQ48" i="10"/>
  <c r="ES62" i="10"/>
  <c r="ET57" i="10" s="1"/>
  <c r="EQ50" i="10" l="1"/>
  <c r="EQ51" i="10" s="1"/>
  <c r="ER40" i="10"/>
  <c r="ET59" i="10"/>
  <c r="ET60" i="10" s="1"/>
  <c r="EQ42" i="10"/>
  <c r="EQ44" i="10" s="1"/>
  <c r="ES73" i="10"/>
  <c r="ES74" i="10" s="1"/>
  <c r="ET68" i="10" s="1"/>
  <c r="ES24" i="10"/>
  <c r="ET70" i="10" l="1"/>
  <c r="ET61" i="10"/>
  <c r="ES25" i="10"/>
  <c r="ER41" i="10"/>
  <c r="ER49" i="10" s="1"/>
  <c r="ER48" i="10"/>
  <c r="ES32" i="10"/>
  <c r="ES75" i="10"/>
  <c r="ER50" i="10" l="1"/>
  <c r="ER51" i="10" s="1"/>
  <c r="ES33" i="10"/>
  <c r="ES34" i="10" s="1"/>
  <c r="ES36" i="10" s="1"/>
  <c r="ER42" i="10"/>
  <c r="ER44" i="10" s="1"/>
  <c r="ET23" i="10"/>
  <c r="ET63" i="10"/>
  <c r="F63" i="10" s="1"/>
  <c r="ET71" i="10"/>
  <c r="ET72" i="10" s="1"/>
  <c r="ET62" i="10"/>
  <c r="ET73" i="10" l="1"/>
  <c r="ET24" i="10"/>
  <c r="ET25" i="10" s="1"/>
  <c r="ES40" i="10"/>
  <c r="ES41" i="10" l="1"/>
  <c r="ES49" i="10" s="1"/>
  <c r="ES48" i="10"/>
  <c r="ET32" i="10"/>
  <c r="ET75" i="10"/>
  <c r="F75" i="10" s="1"/>
  <c r="ET74" i="10"/>
  <c r="ES50" i="10" l="1"/>
  <c r="ES51" i="10" s="1"/>
  <c r="ES42" i="10"/>
  <c r="ES44" i="10" s="1"/>
  <c r="ET33" i="10"/>
  <c r="ET34" i="10" s="1"/>
  <c r="ET36" i="10" s="1"/>
  <c r="ET40" i="10" l="1"/>
  <c r="ET41" i="10" l="1"/>
  <c r="ET49" i="10" s="1"/>
  <c r="L4" i="10" s="1"/>
  <c r="M13" i="16" s="1"/>
  <c r="ET48" i="10"/>
  <c r="ET42" i="10" l="1"/>
  <c r="ET44" i="10" s="1"/>
  <c r="ET50" i="10"/>
  <c r="ET51" i="10" s="1"/>
  <c r="R4" i="10"/>
  <c r="M9" i="16" s="1"/>
  <c r="L9" i="16" s="1"/>
  <c r="Q4" i="10"/>
  <c r="M11" i="16" s="1"/>
  <c r="P4" i="10"/>
  <c r="M10" i="16" s="1"/>
  <c r="N4" i="10"/>
  <c r="M12" i="16" s="1"/>
  <c r="L12" i="16" s="1"/>
  <c r="M4" i="10"/>
  <c r="M14" i="16" s="1"/>
  <c r="O4" i="10" l="1"/>
  <c r="S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Tony Maldonado</author>
  </authors>
  <commentList>
    <comment ref="C3" authorId="0" shapeId="0" xr:uid="{6DACFD48-1F9D-4967-A4C6-0187F7398D5D}">
      <text>
        <r>
          <rPr>
            <b/>
            <sz val="9"/>
            <color indexed="81"/>
            <rFont val="Tahoma"/>
            <family val="2"/>
          </rPr>
          <t>As a % of Revenue</t>
        </r>
      </text>
    </comment>
  </commentList>
</comments>
</file>

<file path=xl/sharedStrings.xml><?xml version="1.0" encoding="utf-8"?>
<sst xmlns="http://schemas.openxmlformats.org/spreadsheetml/2006/main" count="2050" uniqueCount="952">
  <si>
    <t>Loan Information</t>
  </si>
  <si>
    <t>Loan Amount</t>
  </si>
  <si>
    <t>Rate (Annual)</t>
  </si>
  <si>
    <t>Term of Loan (Years)</t>
  </si>
  <si>
    <t>Amortization (Years)</t>
  </si>
  <si>
    <t>Monthly Amortization Schedule</t>
  </si>
  <si>
    <t>Annual Amounts</t>
  </si>
  <si>
    <t>Month</t>
  </si>
  <si>
    <t>Year</t>
  </si>
  <si>
    <t>BOP Balance</t>
  </si>
  <si>
    <t>Total Payment</t>
  </si>
  <si>
    <t>Loan Payoff</t>
  </si>
  <si>
    <t>Interest Payment</t>
  </si>
  <si>
    <t>Principal Payment</t>
  </si>
  <si>
    <t>EOP Balance</t>
  </si>
  <si>
    <t>Interest Only (Years)</t>
  </si>
  <si>
    <t>Monthly Payment (non IO)</t>
  </si>
  <si>
    <t>Annual Payment (non IO)</t>
  </si>
  <si>
    <t>Property Assumptions</t>
  </si>
  <si>
    <t>Retail</t>
  </si>
  <si>
    <t>Rentable Building Area</t>
  </si>
  <si>
    <t>Market Inflation</t>
  </si>
  <si>
    <t>Vacant Square Feet</t>
  </si>
  <si>
    <t>Current Occupancy</t>
  </si>
  <si>
    <t>Global Assumptions</t>
  </si>
  <si>
    <t>Analysis Begin Date</t>
  </si>
  <si>
    <t>Analysis End Date</t>
  </si>
  <si>
    <t>Term of Analysis</t>
  </si>
  <si>
    <t>General Inflation Rate</t>
  </si>
  <si>
    <t>Market Inflation Rate</t>
  </si>
  <si>
    <t>Expense Inflation Rate</t>
  </si>
  <si>
    <t>General Vacancy</t>
  </si>
  <si>
    <t>Term</t>
  </si>
  <si>
    <t>Credit Loss</t>
  </si>
  <si>
    <t>Lease Term</t>
  </si>
  <si>
    <t>Renewal Probability</t>
  </si>
  <si>
    <t>Capital Reserve</t>
  </si>
  <si>
    <t>Downtime</t>
  </si>
  <si>
    <t>Months Vacant</t>
  </si>
  <si>
    <t>Year 1 Operating Expenses</t>
  </si>
  <si>
    <t>Weighted Average</t>
  </si>
  <si>
    <t xml:space="preserve">  Real Estate Taxes</t>
  </si>
  <si>
    <t>Rent</t>
  </si>
  <si>
    <t xml:space="preserve">  Insurance</t>
  </si>
  <si>
    <t>Market Rent</t>
  </si>
  <si>
    <t xml:space="preserve">  Utilities</t>
  </si>
  <si>
    <t>Rent Steps</t>
  </si>
  <si>
    <t xml:space="preserve">  Repairs and Maintenance</t>
  </si>
  <si>
    <t>Free Rent</t>
  </si>
  <si>
    <t xml:space="preserve">  Janitorial</t>
  </si>
  <si>
    <t>New</t>
  </si>
  <si>
    <t xml:space="preserve">  Management Fees</t>
  </si>
  <si>
    <t>Renew</t>
  </si>
  <si>
    <t xml:space="preserve">  Payroll and Benefits</t>
  </si>
  <si>
    <t xml:space="preserve">  Advertising and Marketing</t>
  </si>
  <si>
    <t>Tenant Improvements</t>
  </si>
  <si>
    <t xml:space="preserve">  Professional Fees</t>
  </si>
  <si>
    <t xml:space="preserve">  General and Admin</t>
  </si>
  <si>
    <t>Total Year 1 Expenses</t>
  </si>
  <si>
    <t>Leasing Commissions</t>
  </si>
  <si>
    <t>Vacant Suite Lease-Up Assumptions</t>
  </si>
  <si>
    <t>Expense Recovery</t>
  </si>
  <si>
    <t>Recovery Type</t>
  </si>
  <si>
    <t>Tenants</t>
  </si>
  <si>
    <t>INPUTS</t>
  </si>
  <si>
    <t>RETURNS</t>
  </si>
  <si>
    <t>Investor</t>
  </si>
  <si>
    <t>Sponsor co-invest</t>
  </si>
  <si>
    <t>Preferred Return</t>
  </si>
  <si>
    <t>Promote up to Hurdle</t>
  </si>
  <si>
    <t>Hurdle Rate</t>
  </si>
  <si>
    <t>Promote over Hurdle</t>
  </si>
  <si>
    <t>Sponsor IRR</t>
  </si>
  <si>
    <t>Sponsor Multiple</t>
  </si>
  <si>
    <t>Sponsor Profit</t>
  </si>
  <si>
    <t>Sponsor Share of Profit</t>
  </si>
  <si>
    <t>Investor IRR</t>
  </si>
  <si>
    <t>Investor Multiple</t>
  </si>
  <si>
    <t>Investor Profit</t>
  </si>
  <si>
    <t>Investor Share of Profit</t>
  </si>
  <si>
    <t>Sponsor</t>
  </si>
  <si>
    <t>Project Leveraged Cash Flow</t>
  </si>
  <si>
    <t>x</t>
  </si>
  <si>
    <t>Project Levered IRR</t>
  </si>
  <si>
    <t>Standard Partner Contributions</t>
  </si>
  <si>
    <t>Fund Total</t>
  </si>
  <si>
    <t>Level 1</t>
  </si>
  <si>
    <t>Remaining Cash Flow</t>
  </si>
  <si>
    <t>Remaining Cash Flow After Superpref</t>
  </si>
  <si>
    <t>Level 2</t>
  </si>
  <si>
    <t>Level 3</t>
  </si>
  <si>
    <t>Partnership Cash Flows</t>
  </si>
  <si>
    <t>Partnership Total</t>
  </si>
  <si>
    <t>Beginning Balance</t>
  </si>
  <si>
    <t>Contributions</t>
  </si>
  <si>
    <t>Accrued Return</t>
  </si>
  <si>
    <t>Subtotal</t>
  </si>
  <si>
    <t>Level 1 Distribution</t>
  </si>
  <si>
    <t>Ending Balance</t>
  </si>
  <si>
    <t>IRR Check</t>
  </si>
  <si>
    <t>Level 2 Distribution</t>
  </si>
  <si>
    <t>Debt</t>
  </si>
  <si>
    <t>For the Years Ending</t>
  </si>
  <si>
    <t>Rental Revenue</t>
  </si>
  <si>
    <t xml:space="preserve">  Potential Base Rent</t>
  </si>
  <si>
    <t xml:space="preserve">  Absorption &amp; Turnover Vacancy</t>
  </si>
  <si>
    <t xml:space="preserve">  Free Rent</t>
  </si>
  <si>
    <t xml:space="preserve">  Scheduled Base Rent</t>
  </si>
  <si>
    <t>Total Rental Revenue</t>
  </si>
  <si>
    <t>Other Tenant Revenue</t>
  </si>
  <si>
    <t xml:space="preserve">  Total Expense Recoveries</t>
  </si>
  <si>
    <t>Total Other Tenant Revenue</t>
  </si>
  <si>
    <t>Total Tenant Revenue</t>
  </si>
  <si>
    <t>Potential Gross Revenue</t>
  </si>
  <si>
    <t>Vacancy &amp; Credit Loss</t>
  </si>
  <si>
    <t xml:space="preserve">  Vacancy Allowance</t>
  </si>
  <si>
    <t xml:space="preserve">  Credit Loss</t>
  </si>
  <si>
    <t>Total Vacancy &amp; Credit Loss</t>
  </si>
  <si>
    <t>Effective Gross Revenue</t>
  </si>
  <si>
    <t>Operating Expenses</t>
  </si>
  <si>
    <t>Total Operating Expenses</t>
  </si>
  <si>
    <t>Net Operating Income</t>
  </si>
  <si>
    <t>Leasing Costs</t>
  </si>
  <si>
    <t xml:space="preserve">  Tenant Improvements</t>
  </si>
  <si>
    <t xml:space="preserve">  Leasing Commissions</t>
  </si>
  <si>
    <t xml:space="preserve">  Total Leasing Costs</t>
  </si>
  <si>
    <t>Capital Expenditures</t>
  </si>
  <si>
    <t xml:space="preserve">  Elevator Modernization</t>
  </si>
  <si>
    <t xml:space="preserve">  Corridor Updates</t>
  </si>
  <si>
    <t xml:space="preserve">  Furniture</t>
  </si>
  <si>
    <t xml:space="preserve">  LED Lighting</t>
  </si>
  <si>
    <t>Total Capital Expenditures</t>
  </si>
  <si>
    <t>Total Leasing &amp; Capital Costs</t>
  </si>
  <si>
    <t>Cash Flow Before Debt Service</t>
  </si>
  <si>
    <t>Cash Flow Available for Distribution</t>
  </si>
  <si>
    <t>POTENTIAL GROSS REVENUE</t>
  </si>
  <si>
    <t>Other Income</t>
  </si>
  <si>
    <t>OPERATING EXPENSES</t>
  </si>
  <si>
    <t>Total Leasing Costs</t>
  </si>
  <si>
    <t>Total Leasing and Capital</t>
  </si>
  <si>
    <t>LEASING AND CAPITAL COSTS</t>
  </si>
  <si>
    <t>Unlevered Cash Flow</t>
  </si>
  <si>
    <t>DEBT SERVICE</t>
  </si>
  <si>
    <t xml:space="preserve">  Interest Payments</t>
  </si>
  <si>
    <t xml:space="preserve">  Principal Payments</t>
  </si>
  <si>
    <t>Levered Cash Flow</t>
  </si>
  <si>
    <t>ARGUS INPUT UNDERWRITING ASSUMPTIONS</t>
  </si>
  <si>
    <t>MARKET LEASING PROFILE ASSUMPTIONS</t>
  </si>
  <si>
    <t>Address</t>
  </si>
  <si>
    <t>City, State</t>
  </si>
  <si>
    <t>Analysis Start Date</t>
  </si>
  <si>
    <t>YR1 NOI</t>
  </si>
  <si>
    <t>Exit Cap Rate</t>
  </si>
  <si>
    <t xml:space="preserve">  Loan Proceeds</t>
  </si>
  <si>
    <t xml:space="preserve">  Principal Payoff</t>
  </si>
  <si>
    <t>TOTAL DEBT SERVICE</t>
  </si>
  <si>
    <t>Property</t>
  </si>
  <si>
    <t>Deal Unleveraged IRR</t>
  </si>
  <si>
    <t>Deal Unleveraged Profit</t>
  </si>
  <si>
    <t>Deal Unleveraged Multiple</t>
  </si>
  <si>
    <t>Average Occupancy</t>
  </si>
  <si>
    <t>Deal Leveraged IRR</t>
  </si>
  <si>
    <t>In Place Occupancy</t>
  </si>
  <si>
    <t>Deal Leveraged Profit</t>
  </si>
  <si>
    <t>Deal Leveraged Multiple</t>
  </si>
  <si>
    <t>CAM</t>
  </si>
  <si>
    <t>Forward NOI</t>
  </si>
  <si>
    <t>%</t>
  </si>
  <si>
    <t>Cash Flow</t>
  </si>
  <si>
    <t>PSF</t>
  </si>
  <si>
    <t/>
  </si>
  <si>
    <t>Equity</t>
  </si>
  <si>
    <t>Cash Before Debt Service</t>
  </si>
  <si>
    <t>Loan Proceeds</t>
  </si>
  <si>
    <t>Debt Service</t>
  </si>
  <si>
    <t>PROPERTY INFORMATION</t>
  </si>
  <si>
    <t>RETURN SUMMARY</t>
  </si>
  <si>
    <t>RBA</t>
  </si>
  <si>
    <t>PASTE IN COLUMN B&gt;&gt;</t>
  </si>
  <si>
    <t xml:space="preserve">  REAL ESTATE TAXES</t>
  </si>
  <si>
    <t xml:space="preserve">  INSURANCE</t>
  </si>
  <si>
    <t xml:space="preserve">  UTILITIES</t>
  </si>
  <si>
    <t xml:space="preserve">  REPAIRS AND MAINTENANCE</t>
  </si>
  <si>
    <t xml:space="preserve">  MANAGEMENT FEES</t>
  </si>
  <si>
    <t xml:space="preserve">  PAYROLL AND BENEFITS</t>
  </si>
  <si>
    <t xml:space="preserve">  ADVERTISING AND MARKETING</t>
  </si>
  <si>
    <t xml:space="preserve">  SECURITY</t>
  </si>
  <si>
    <t xml:space="preserve">  JANITORIAL</t>
  </si>
  <si>
    <t xml:space="preserve">  Restroom Updates</t>
  </si>
  <si>
    <t>Tenant Occupancy Summary</t>
  </si>
  <si>
    <t xml:space="preserve">  Occupied Area</t>
  </si>
  <si>
    <t xml:space="preserve">  Vacant Area</t>
  </si>
  <si>
    <t xml:space="preserve">  Leased Area</t>
  </si>
  <si>
    <t xml:space="preserve">  Building Area</t>
  </si>
  <si>
    <t xml:space="preserve">  Average Occupancy Percentage</t>
  </si>
  <si>
    <t>Parking Revenue</t>
  </si>
  <si>
    <t xml:space="preserve">  Parking Garage</t>
  </si>
  <si>
    <t>Total Other Revenue</t>
  </si>
  <si>
    <t xml:space="preserve">  Elevator Replacement</t>
  </si>
  <si>
    <t xml:space="preserve">  Tenant Lounge</t>
  </si>
  <si>
    <t xml:space="preserve">  General Reserve</t>
  </si>
  <si>
    <t>1099 STEWART</t>
  </si>
  <si>
    <t>EMPIRE STATE BLDG</t>
  </si>
  <si>
    <t>PASTE IN CELL B2</t>
  </si>
  <si>
    <t>PASTE IN CELL B2 &gt;&gt;</t>
  </si>
  <si>
    <t>REAL ESTATE TAXES</t>
  </si>
  <si>
    <t>INSURANCE</t>
  </si>
  <si>
    <t>UTILITES</t>
  </si>
  <si>
    <t>MGMT FEE</t>
  </si>
  <si>
    <t>NORMALIZE OPERATING EXPENSES USING BY CATEGORIZING THEM TO PROPER EXPENSE ACCOUNT</t>
  </si>
  <si>
    <t>OCCUPANCY</t>
  </si>
  <si>
    <t>PROFORMA ROLLUP DATA VALIDATION</t>
  </si>
  <si>
    <t>YR1 / SF</t>
  </si>
  <si>
    <t>OTHER INCOME</t>
  </si>
  <si>
    <t>Reversion Vacancy</t>
  </si>
  <si>
    <t>UL IRR</t>
  </si>
  <si>
    <t>UL EM</t>
  </si>
  <si>
    <t>UL $ Profit</t>
  </si>
  <si>
    <t>MLA 1</t>
  </si>
  <si>
    <t>MLA 2</t>
  </si>
  <si>
    <t>MLA 3</t>
  </si>
  <si>
    <t>MLA 4</t>
  </si>
  <si>
    <t>MLA 5</t>
  </si>
  <si>
    <t>Initial Contribution</t>
  </si>
  <si>
    <t>Capital Partner</t>
  </si>
  <si>
    <t>Going-In Cap Rate</t>
  </si>
  <si>
    <t>Purchase Price</t>
  </si>
  <si>
    <t>Purchase Price (PSF)</t>
  </si>
  <si>
    <t>DEBT</t>
  </si>
  <si>
    <t>LTC</t>
  </si>
  <si>
    <t>Sale Year</t>
  </si>
  <si>
    <t>SOURCES AND USES</t>
  </si>
  <si>
    <t>Sources</t>
  </si>
  <si>
    <t>Amount</t>
  </si>
  <si>
    <t>Total Sources</t>
  </si>
  <si>
    <t>Uses</t>
  </si>
  <si>
    <t>Total Uses</t>
  </si>
  <si>
    <t>CASH FLOW SUMMARY</t>
  </si>
  <si>
    <t>Year Ending</t>
  </si>
  <si>
    <t xml:space="preserve"> - </t>
  </si>
  <si>
    <t>Effective Gross Income</t>
  </si>
  <si>
    <t>NOI Growth</t>
  </si>
  <si>
    <t xml:space="preserve"> -   </t>
  </si>
  <si>
    <t>Total Capital Improvements</t>
  </si>
  <si>
    <t>Unleveraged Cash Flow</t>
  </si>
  <si>
    <t>Principal Payoff</t>
  </si>
  <si>
    <t>Total Financing</t>
  </si>
  <si>
    <t>DSCR</t>
  </si>
  <si>
    <t>Leveraged Cash Flow</t>
  </si>
  <si>
    <t>-</t>
  </si>
  <si>
    <t>Capital Improvements</t>
  </si>
  <si>
    <t>NOI to Capitalize</t>
  </si>
  <si>
    <t>Divide by Exit Cap Rate</t>
  </si>
  <si>
    <t>Gross Sales Price</t>
  </si>
  <si>
    <t>Selling Expense</t>
  </si>
  <si>
    <t>Net Sales Price</t>
  </si>
  <si>
    <t>Less: Loan Balance</t>
  </si>
  <si>
    <t>Proceeds from Sale</t>
  </si>
  <si>
    <t>REVERSION CALCULATION</t>
  </si>
  <si>
    <t>$</t>
  </si>
  <si>
    <t>SENSITIVITIES</t>
  </si>
  <si>
    <t>Spread</t>
  </si>
  <si>
    <t>10YR UST</t>
  </si>
  <si>
    <t>Hold Period</t>
  </si>
  <si>
    <t xml:space="preserve">PURCHASE PRICE </t>
  </si>
  <si>
    <t>UL Hold Period Sensitivity</t>
  </si>
  <si>
    <t>L Hold Period Sensitivity</t>
  </si>
  <si>
    <t>Pricing Sensitivity:</t>
  </si>
  <si>
    <t>Why we use Excel</t>
  </si>
  <si>
    <t>Exporting from ARGUS to Excel</t>
  </si>
  <si>
    <t>INSTRUCTIONS</t>
  </si>
  <si>
    <r>
      <t>Assigned Tenants</t>
    </r>
    <r>
      <rPr>
        <vertAlign val="superscript"/>
        <sz val="9"/>
        <color rgb="FFFFFFFF"/>
        <rFont val="Calibri"/>
        <family val="2"/>
        <scheme val="minor"/>
      </rPr>
      <t>1</t>
    </r>
  </si>
  <si>
    <r>
      <t>1</t>
    </r>
    <r>
      <rPr>
        <b/>
        <i/>
        <sz val="9"/>
        <color theme="1"/>
        <rFont val="Calibri"/>
        <family val="2"/>
        <scheme val="minor"/>
      </rPr>
      <t xml:space="preserve"> If more than 10 tenants - see the rent roll for all tenants and their assigned MLAs</t>
    </r>
  </si>
  <si>
    <r>
      <t>Select "</t>
    </r>
    <r>
      <rPr>
        <b/>
        <sz val="11"/>
        <color theme="1"/>
        <rFont val="Calibri"/>
        <family val="2"/>
        <scheme val="minor"/>
      </rPr>
      <t>PROPERTY REPORTS</t>
    </r>
    <r>
      <rPr>
        <sz val="11"/>
        <color theme="1"/>
        <rFont val="Calibri"/>
        <family val="2"/>
        <scheme val="minor"/>
      </rPr>
      <t>" &gt; "</t>
    </r>
    <r>
      <rPr>
        <b/>
        <sz val="11"/>
        <color theme="1"/>
        <rFont val="Calibri"/>
        <family val="2"/>
        <scheme val="minor"/>
      </rPr>
      <t>CASH FLOW</t>
    </r>
    <r>
      <rPr>
        <sz val="11"/>
        <color theme="1"/>
        <rFont val="Calibri"/>
        <family val="2"/>
        <scheme val="minor"/>
      </rPr>
      <t>" from reports tab</t>
    </r>
  </si>
  <si>
    <r>
      <t>Select "</t>
    </r>
    <r>
      <rPr>
        <b/>
        <sz val="11"/>
        <color theme="1"/>
        <rFont val="Calibri"/>
        <family val="2"/>
        <scheme val="minor"/>
      </rPr>
      <t>REPORT</t>
    </r>
    <r>
      <rPr>
        <sz val="11"/>
        <color theme="1"/>
        <rFont val="Calibri"/>
        <family val="2"/>
        <scheme val="minor"/>
      </rPr>
      <t xml:space="preserve">" </t>
    </r>
    <r>
      <rPr>
        <b/>
        <sz val="11"/>
        <color theme="1"/>
        <rFont val="Calibri"/>
        <family val="2"/>
        <scheme val="minor"/>
      </rPr>
      <t>&gt; "REPORT OPTIONS"</t>
    </r>
  </si>
  <si>
    <r>
      <t>Scroll down midway and select "</t>
    </r>
    <r>
      <rPr>
        <b/>
        <sz val="11"/>
        <color theme="1"/>
        <rFont val="Calibri"/>
        <family val="2"/>
        <scheme val="minor"/>
      </rPr>
      <t>YES</t>
    </r>
    <r>
      <rPr>
        <sz val="11"/>
        <color theme="1"/>
        <rFont val="Calibri"/>
        <family val="2"/>
        <scheme val="minor"/>
      </rPr>
      <t>" for "</t>
    </r>
    <r>
      <rPr>
        <b/>
        <sz val="11"/>
        <color theme="1"/>
        <rFont val="Calibri"/>
        <family val="2"/>
        <scheme val="minor"/>
      </rPr>
      <t>PRINT OCCUPANCY SUMMARY</t>
    </r>
    <r>
      <rPr>
        <sz val="11"/>
        <color theme="1"/>
        <rFont val="Calibri"/>
        <family val="2"/>
        <scheme val="minor"/>
      </rPr>
      <t>"</t>
    </r>
  </si>
  <si>
    <r>
      <t>Select "</t>
    </r>
    <r>
      <rPr>
        <b/>
        <sz val="11"/>
        <color theme="1"/>
        <rFont val="Calibri"/>
        <family val="2"/>
        <scheme val="minor"/>
      </rPr>
      <t>EXPORT</t>
    </r>
    <r>
      <rPr>
        <sz val="11"/>
        <color theme="1"/>
        <rFont val="Calibri"/>
        <family val="2"/>
        <scheme val="minor"/>
      </rPr>
      <t>" &gt; "</t>
    </r>
    <r>
      <rPr>
        <b/>
        <sz val="11"/>
        <color theme="1"/>
        <rFont val="Calibri"/>
        <family val="2"/>
        <scheme val="minor"/>
      </rPr>
      <t>MICROSOFT EXCEL</t>
    </r>
    <r>
      <rPr>
        <sz val="11"/>
        <color theme="1"/>
        <rFont val="Calibri"/>
        <family val="2"/>
        <scheme val="minor"/>
      </rPr>
      <t>"</t>
    </r>
  </si>
  <si>
    <t>PARTNERSHIP ASSUMPTIONS</t>
  </si>
  <si>
    <t xml:space="preserve">   Cash on Cash</t>
  </si>
  <si>
    <t>Cap Rate</t>
  </si>
  <si>
    <t>RETURN METRICS</t>
  </si>
  <si>
    <t>Equity Multiple</t>
  </si>
  <si>
    <t>Unlevered IRR</t>
  </si>
  <si>
    <t>Levered IRR</t>
  </si>
  <si>
    <t>Hold Period Avg. Cash on Cash</t>
  </si>
  <si>
    <t>LTV</t>
  </si>
  <si>
    <t>Debt Yield</t>
  </si>
  <si>
    <t>Antenna</t>
  </si>
  <si>
    <t>YR</t>
  </si>
  <si>
    <t>Projected Revenue</t>
  </si>
  <si>
    <t>OBSERVATORY REVENUE</t>
  </si>
  <si>
    <t>Growth Rate</t>
  </si>
  <si>
    <t>Revenue Est. Ending 2023</t>
  </si>
  <si>
    <t>Avg Growth Rate</t>
  </si>
  <si>
    <t>NOI</t>
  </si>
  <si>
    <t>YEAR ENDING</t>
  </si>
  <si>
    <t>OBSERVATION DECK ANALYSIS INPUTS</t>
  </si>
  <si>
    <t>Discount Rate</t>
  </si>
  <si>
    <t>FOR CHART</t>
  </si>
  <si>
    <t>Exit Value</t>
  </si>
  <si>
    <t>NOI PRESENT VALUE</t>
  </si>
  <si>
    <t>Observatory PV</t>
  </si>
  <si>
    <t>Building NOI</t>
  </si>
  <si>
    <t xml:space="preserve"> PROPERTY LEVEL NOI</t>
  </si>
  <si>
    <t>Observatory NOI</t>
  </si>
  <si>
    <t>Reversion</t>
  </si>
  <si>
    <t>REVERSION  PRESENT VALUE</t>
  </si>
  <si>
    <t>TOTAL PRESENT VALUE</t>
  </si>
  <si>
    <t>Historic Revenue</t>
  </si>
  <si>
    <t>High Rise Office</t>
  </si>
  <si>
    <t>Mid Rise Office</t>
  </si>
  <si>
    <t>Low Rise Office</t>
  </si>
  <si>
    <t>BASE YR STOP</t>
  </si>
  <si>
    <t>NET</t>
  </si>
  <si>
    <t>Management Fees - YR1</t>
  </si>
  <si>
    <t>Real estate taxes</t>
  </si>
  <si>
    <t>Insurance</t>
  </si>
  <si>
    <t>Utilities</t>
  </si>
  <si>
    <t>Repairs and maint.</t>
  </si>
  <si>
    <t>Management fees</t>
  </si>
  <si>
    <t>Payroll and benefits</t>
  </si>
  <si>
    <t>Adv. and marketing</t>
  </si>
  <si>
    <t>Security</t>
  </si>
  <si>
    <t>Janitorial and cleaning</t>
  </si>
  <si>
    <t>Category</t>
  </si>
  <si>
    <t>Type</t>
  </si>
  <si>
    <t>Floor</t>
  </si>
  <si>
    <t>Square Feet</t>
  </si>
  <si>
    <t>Starbucks</t>
  </si>
  <si>
    <t>ABC Global</t>
  </si>
  <si>
    <t xml:space="preserve">  Pacific Century Cyberworks</t>
  </si>
  <si>
    <t xml:space="preserve">  Elj Marketing Service Inc</t>
  </si>
  <si>
    <t xml:space="preserve">  Walgreens</t>
  </si>
  <si>
    <t xml:space="preserve">  AT&amp;T Wireless</t>
  </si>
  <si>
    <t xml:space="preserve">  Smartbox</t>
  </si>
  <si>
    <t xml:space="preserve">  Isde</t>
  </si>
  <si>
    <t xml:space="preserve">  Citizen Watch Company Of America</t>
  </si>
  <si>
    <t xml:space="preserve">  Retail Concepts LLC</t>
  </si>
  <si>
    <t xml:space="preserve">  Rocket Pharma</t>
  </si>
  <si>
    <t xml:space="preserve">  Chipotle</t>
  </si>
  <si>
    <t xml:space="preserve">  Broadcast 1</t>
  </si>
  <si>
    <t xml:space="preserve">  Broadcast 2</t>
  </si>
  <si>
    <t xml:space="preserve">  Broadcast 3</t>
  </si>
  <si>
    <t xml:space="preserve">  Broadcast 4</t>
  </si>
  <si>
    <t xml:space="preserve">  Broadcast 5</t>
  </si>
  <si>
    <t xml:space="preserve">  Broadcast 6</t>
  </si>
  <si>
    <t xml:space="preserve">  Broadcast 7</t>
  </si>
  <si>
    <t xml:space="preserve">  Broadcast 8</t>
  </si>
  <si>
    <t xml:space="preserve">  Broadcast 9</t>
  </si>
  <si>
    <t xml:space="preserve">  Broadcast 10</t>
  </si>
  <si>
    <t xml:space="preserve">  FDIC</t>
  </si>
  <si>
    <t xml:space="preserve">  COTY, Inc.</t>
  </si>
  <si>
    <t xml:space="preserve">  Shutterstock</t>
  </si>
  <si>
    <t xml:space="preserve">  Centric Brands</t>
  </si>
  <si>
    <t xml:space="preserve">  HNTB</t>
  </si>
  <si>
    <t xml:space="preserve">  Revolution LLC</t>
  </si>
  <si>
    <t xml:space="preserve">  Phillips Engineering</t>
  </si>
  <si>
    <t xml:space="preserve">  Chattaway Partners</t>
  </si>
  <si>
    <t xml:space="preserve">  Oasis</t>
  </si>
  <si>
    <t xml:space="preserve">  Midtown Eye</t>
  </si>
  <si>
    <t xml:space="preserve">  Showtime Pictures</t>
  </si>
  <si>
    <t xml:space="preserve">  Global Brands Group</t>
  </si>
  <si>
    <t xml:space="preserve">  Algonquin Legal Associates</t>
  </si>
  <si>
    <t xml:space="preserve">  Langley Stanton</t>
  </si>
  <si>
    <t xml:space="preserve">  Pantheon Capital</t>
  </si>
  <si>
    <t xml:space="preserve">  Signature Partners</t>
  </si>
  <si>
    <t xml:space="preserve">  Stanley, Stanley and Drunkenmiller</t>
  </si>
  <si>
    <t>Others1</t>
  </si>
  <si>
    <r>
      <t>Others</t>
    </r>
    <r>
      <rPr>
        <vertAlign val="superscript"/>
        <sz val="9"/>
        <rFont val="Calibri"/>
        <family val="2"/>
        <scheme val="minor"/>
      </rPr>
      <t>1</t>
    </r>
  </si>
  <si>
    <t xml:space="preserve">  LinkedIn</t>
  </si>
  <si>
    <t xml:space="preserve">  Human Rights Watch, Inc.</t>
  </si>
  <si>
    <t xml:space="preserve">  JCDecaux North America</t>
  </si>
  <si>
    <t xml:space="preserve">  Kaltex North America</t>
  </si>
  <si>
    <t xml:space="preserve">  USI</t>
  </si>
  <si>
    <t xml:space="preserve">  Impact</t>
  </si>
  <si>
    <t xml:space="preserve">  Skanska</t>
  </si>
  <si>
    <t xml:space="preserve">  ZS Associates, Inc.</t>
  </si>
  <si>
    <t xml:space="preserve">  Funaro &amp; Co., P.C.</t>
  </si>
  <si>
    <t xml:space="preserve">  Workday</t>
  </si>
  <si>
    <t xml:space="preserve">  Dufry</t>
  </si>
  <si>
    <t>Building Capital Expenditures</t>
  </si>
  <si>
    <t>Forecast</t>
  </si>
  <si>
    <t>Year 1</t>
  </si>
  <si>
    <t>Year 2</t>
  </si>
  <si>
    <t>Year 3</t>
  </si>
  <si>
    <t>Year 4</t>
  </si>
  <si>
    <t>Year 5</t>
  </si>
  <si>
    <t>Year 6</t>
  </si>
  <si>
    <t>Year 7</t>
  </si>
  <si>
    <t>Year 8</t>
  </si>
  <si>
    <t>Year 9</t>
  </si>
  <si>
    <t>Year 10</t>
  </si>
  <si>
    <t>Year 11</t>
  </si>
  <si>
    <t>Dec-2024</t>
  </si>
  <si>
    <t>Dec-2025</t>
  </si>
  <si>
    <t>Dec-2026</t>
  </si>
  <si>
    <t>Dec-2027</t>
  </si>
  <si>
    <t>Dec-2028</t>
  </si>
  <si>
    <t>Dec-2029</t>
  </si>
  <si>
    <t>Dec-2030</t>
  </si>
  <si>
    <t>Dec-2031</t>
  </si>
  <si>
    <t>Dec-2032</t>
  </si>
  <si>
    <t>Dec-2033</t>
  </si>
  <si>
    <t>Dec-2034</t>
  </si>
  <si>
    <t>Total</t>
  </si>
  <si>
    <t xml:space="preserve">  Furniturer Replacement</t>
  </si>
  <si>
    <t xml:space="preserve"> </t>
  </si>
  <si>
    <t>Lease</t>
  </si>
  <si>
    <t>Potential</t>
  </si>
  <si>
    <t>Absorption &amp;</t>
  </si>
  <si>
    <t>Free</t>
  </si>
  <si>
    <t>Scheduled</t>
  </si>
  <si>
    <t>Miscellaneous</t>
  </si>
  <si>
    <t>CPI</t>
  </si>
  <si>
    <t>Percentage</t>
  </si>
  <si>
    <t>Expense</t>
  </si>
  <si>
    <t>Tenant</t>
  </si>
  <si>
    <t>Leasing</t>
  </si>
  <si>
    <t>Net</t>
  </si>
  <si>
    <t>Tenant Name</t>
  </si>
  <si>
    <t>Suite</t>
  </si>
  <si>
    <t>Lease Type</t>
  </si>
  <si>
    <t>Lease Status</t>
  </si>
  <si>
    <t>Credit Tenants</t>
  </si>
  <si>
    <t>Tenant Status</t>
  </si>
  <si>
    <t>Area</t>
  </si>
  <si>
    <t>Start Date</t>
  </si>
  <si>
    <t>End Date</t>
  </si>
  <si>
    <t>Base Rent</t>
  </si>
  <si>
    <t>Turnover Rent</t>
  </si>
  <si>
    <t>Increases</t>
  </si>
  <si>
    <t>Recoveries</t>
  </si>
  <si>
    <t>Gross Revenue</t>
  </si>
  <si>
    <t>Improvements</t>
  </si>
  <si>
    <t>Commissions</t>
  </si>
  <si>
    <t>Incentives</t>
  </si>
  <si>
    <t xml:space="preserve">    ABC Global Systems</t>
  </si>
  <si>
    <t>GRND</t>
  </si>
  <si>
    <t>Office</t>
  </si>
  <si>
    <t>Contract</t>
  </si>
  <si>
    <t>2/1/2021</t>
  </si>
  <si>
    <t>12/31/2036</t>
  </si>
  <si>
    <t xml:space="preserve">    Acronym</t>
  </si>
  <si>
    <t>65th</t>
  </si>
  <si>
    <t>2/1/2012</t>
  </si>
  <si>
    <t>9/30/2027</t>
  </si>
  <si>
    <t xml:space="preserve">    Adler Brothers</t>
  </si>
  <si>
    <t>26th</t>
  </si>
  <si>
    <t>1/1/2024</t>
  </si>
  <si>
    <t>6/30/2052</t>
  </si>
  <si>
    <t xml:space="preserve">    Agoda</t>
  </si>
  <si>
    <t>47th</t>
  </si>
  <si>
    <t>8/1/2017</t>
  </si>
  <si>
    <t>1/31/2027</t>
  </si>
  <si>
    <t xml:space="preserve">    Air China International Corp</t>
  </si>
  <si>
    <t>69th</t>
  </si>
  <si>
    <t>10/1/2021</t>
  </si>
  <si>
    <t>10/31/2028</t>
  </si>
  <si>
    <t xml:space="preserve">    AIR Communities</t>
  </si>
  <si>
    <t>6/1/2017</t>
  </si>
  <si>
    <t>7/31/2028</t>
  </si>
  <si>
    <t xml:space="preserve">    ALAC</t>
  </si>
  <si>
    <t>30th</t>
  </si>
  <si>
    <t>2/1/2017</t>
  </si>
  <si>
    <t>5/31/2032</t>
  </si>
  <si>
    <t xml:space="preserve">    Alberleen Group Llc</t>
  </si>
  <si>
    <t>53rd</t>
  </si>
  <si>
    <t>3/1/2011</t>
  </si>
  <si>
    <t>10/31/2031</t>
  </si>
  <si>
    <t xml:space="preserve">    Aldad &amp; Associates, P.C.</t>
  </si>
  <si>
    <t>43rd</t>
  </si>
  <si>
    <t>4/1/2003</t>
  </si>
  <si>
    <t>12/31/2024</t>
  </si>
  <si>
    <t xml:space="preserve">    Algonquin Legal Associates</t>
  </si>
  <si>
    <t>10th</t>
  </si>
  <si>
    <t>6/30/2037</t>
  </si>
  <si>
    <t xml:space="preserve">    alliantgroup</t>
  </si>
  <si>
    <t>52nd</t>
  </si>
  <si>
    <t>8/1/2011</t>
  </si>
  <si>
    <t>3/31/2026</t>
  </si>
  <si>
    <t xml:space="preserve">    American Equity Partners Inc</t>
  </si>
  <si>
    <t>6/1/2022</t>
  </si>
  <si>
    <t>11/30/2027</t>
  </si>
  <si>
    <t xml:space="preserve">    AnswerLab</t>
  </si>
  <si>
    <t>39th</t>
  </si>
  <si>
    <t>8/1/2018</t>
  </si>
  <si>
    <t>11/30/2028</t>
  </si>
  <si>
    <t xml:space="preserve">    Applied Value</t>
  </si>
  <si>
    <t>54th</t>
  </si>
  <si>
    <t>12/1/2014</t>
  </si>
  <si>
    <t>6/30/2031</t>
  </si>
  <si>
    <t xml:space="preserve">    Armstrong</t>
  </si>
  <si>
    <t>50th</t>
  </si>
  <si>
    <t>6/30/2030</t>
  </si>
  <si>
    <t xml:space="preserve">    Aspiriant</t>
  </si>
  <si>
    <t>64th</t>
  </si>
  <si>
    <t>5/1/2011</t>
  </si>
  <si>
    <t>6/30/2026</t>
  </si>
  <si>
    <t xml:space="preserve">    AT&amp;T Wireless</t>
  </si>
  <si>
    <t>6/1/2011</t>
  </si>
  <si>
    <t>1/31/2028</t>
  </si>
  <si>
    <t xml:space="preserve">    Baum Essex</t>
  </si>
  <si>
    <t>11/30/2032</t>
  </si>
  <si>
    <t xml:space="preserve">    BlazeRidge</t>
  </si>
  <si>
    <t>11/1/2019</t>
  </si>
  <si>
    <t>7/31/2029</t>
  </si>
  <si>
    <t xml:space="preserve">    BNP Media</t>
  </si>
  <si>
    <t>60th</t>
  </si>
  <si>
    <t>11/1/2015</t>
  </si>
  <si>
    <t xml:space="preserve">    Boxwood Harris</t>
  </si>
  <si>
    <t>68th</t>
  </si>
  <si>
    <t>7/1/2016</t>
  </si>
  <si>
    <t xml:space="preserve">    Broadcast 1</t>
  </si>
  <si>
    <t>ROOF</t>
  </si>
  <si>
    <t>6/30/2024</t>
  </si>
  <si>
    <t xml:space="preserve">    Broadcast 10</t>
  </si>
  <si>
    <t>12/31/2028</t>
  </si>
  <si>
    <t xml:space="preserve">    Broadcast 2</t>
  </si>
  <si>
    <t>12/31/2027</t>
  </si>
  <si>
    <t xml:space="preserve">    Broadcast 3</t>
  </si>
  <si>
    <t xml:space="preserve">    Broadcast 4</t>
  </si>
  <si>
    <t xml:space="preserve">    Broadcast 5</t>
  </si>
  <si>
    <t xml:space="preserve">    Broadcast 6</t>
  </si>
  <si>
    <t>12/31/2026</t>
  </si>
  <si>
    <t xml:space="preserve">    Broadcast 7</t>
  </si>
  <si>
    <t xml:space="preserve">    Broadcast 8</t>
  </si>
  <si>
    <t xml:space="preserve">    Broadcast 9</t>
  </si>
  <si>
    <t xml:space="preserve">    BroadRiver Asset Management, L.P.</t>
  </si>
  <si>
    <t>31st</t>
  </si>
  <si>
    <t>4/1/2018</t>
  </si>
  <si>
    <t>3/31/2028</t>
  </si>
  <si>
    <t xml:space="preserve">    Bulova</t>
  </si>
  <si>
    <t>29th</t>
  </si>
  <si>
    <t>6/1/2014</t>
  </si>
  <si>
    <t>4/30/2030</t>
  </si>
  <si>
    <t xml:space="preserve">    Calzedonia</t>
  </si>
  <si>
    <t>41st</t>
  </si>
  <si>
    <t>12/1/2021</t>
  </si>
  <si>
    <t>1/31/2036</t>
  </si>
  <si>
    <t xml:space="preserve">    Cayman Islands Department Of Tourism</t>
  </si>
  <si>
    <t>46th</t>
  </si>
  <si>
    <t>1/1/2009</t>
  </si>
  <si>
    <t>10/31/2026</t>
  </si>
  <si>
    <t xml:space="preserve">    Centric Brands</t>
  </si>
  <si>
    <t>4th, 5th, 6th</t>
  </si>
  <si>
    <t xml:space="preserve">    Chattaway Partners</t>
  </si>
  <si>
    <t>22nd</t>
  </si>
  <si>
    <t>6/30/2038</t>
  </si>
  <si>
    <t xml:space="preserve">    Johnson Schiff</t>
  </si>
  <si>
    <t>6/30/2025</t>
  </si>
  <si>
    <t xml:space="preserve">    Chopt Creative Salad Company</t>
  </si>
  <si>
    <t>12/1/2016</t>
  </si>
  <si>
    <t>1/31/2026</t>
  </si>
  <si>
    <t xml:space="preserve">    Citizen Watch Company Of America</t>
  </si>
  <si>
    <t>9/1/2022</t>
  </si>
  <si>
    <t>11/30/2037</t>
  </si>
  <si>
    <t xml:space="preserve">    Clifton Budd &amp; DeMaria, LLP</t>
  </si>
  <si>
    <t>61st</t>
  </si>
  <si>
    <t>4/1/2013</t>
  </si>
  <si>
    <t>9/30/2030</t>
  </si>
  <si>
    <t xml:space="preserve">    Cohen &amp; Cohen</t>
  </si>
  <si>
    <t>15th</t>
  </si>
  <si>
    <t>6/30/2046</t>
  </si>
  <si>
    <t xml:space="preserve">    Community Options, Inc.</t>
  </si>
  <si>
    <t>1/1/2014</t>
  </si>
  <si>
    <t>4/30/2029</t>
  </si>
  <si>
    <t xml:space="preserve">    Computer Phone Inc</t>
  </si>
  <si>
    <t>1/1/2022</t>
  </si>
  <si>
    <t>10/31/2029</t>
  </si>
  <si>
    <t xml:space="preserve">    Corgan Associates Architects</t>
  </si>
  <si>
    <t>4/1/2005</t>
  </si>
  <si>
    <t>12/31/2025</t>
  </si>
  <si>
    <t xml:space="preserve">    COTY, Inc.</t>
  </si>
  <si>
    <t>17th</t>
  </si>
  <si>
    <t>12/1/2008</t>
  </si>
  <si>
    <t>3/31/2029</t>
  </si>
  <si>
    <t xml:space="preserve">   FDIC</t>
  </si>
  <si>
    <t>1/1/2010</t>
  </si>
  <si>
    <t xml:space="preserve">    D Alessio &amp; Pell Llp</t>
  </si>
  <si>
    <t xml:space="preserve">    Dana Communications</t>
  </si>
  <si>
    <t>6/30/2029</t>
  </si>
  <si>
    <t xml:space="preserve">    Dar Store</t>
  </si>
  <si>
    <t>2/29/2036</t>
  </si>
  <si>
    <t xml:space="preserve">    David Ehrlich &amp; Associates Pc</t>
  </si>
  <si>
    <t>9/1/2019</t>
  </si>
  <si>
    <t>1/31/2024</t>
  </si>
  <si>
    <t xml:space="preserve">    Development Ventures Group</t>
  </si>
  <si>
    <t>9/30/2033</t>
  </si>
  <si>
    <t>4/30/2028</t>
  </si>
  <si>
    <t xml:space="preserve">    Digital Capital Advisors</t>
  </si>
  <si>
    <t>76th</t>
  </si>
  <si>
    <t>11/1/2012</t>
  </si>
  <si>
    <t>2/29/2032</t>
  </si>
  <si>
    <t xml:space="preserve">    Dinton Health</t>
  </si>
  <si>
    <t>9th</t>
  </si>
  <si>
    <t>6/30/2042</t>
  </si>
  <si>
    <t xml:space="preserve">    Dufry</t>
  </si>
  <si>
    <t>BSMT, 40th, 80th</t>
  </si>
  <si>
    <t>4/1/1993</t>
  </si>
  <si>
    <t xml:space="preserve">    Dynamic US, Inc.</t>
  </si>
  <si>
    <t>4/1/2022</t>
  </si>
  <si>
    <t>4/30/2027</t>
  </si>
  <si>
    <t xml:space="preserve">    East Japan Railway Company</t>
  </si>
  <si>
    <t>42nd</t>
  </si>
  <si>
    <t>10/1/2015</t>
  </si>
  <si>
    <t>5/31/2030</t>
  </si>
  <si>
    <t xml:space="preserve">    Economic Club Of Ny</t>
  </si>
  <si>
    <t>9/1/2018</t>
  </si>
  <si>
    <t>11/30/2025</t>
  </si>
  <si>
    <t xml:space="preserve">    EDPA</t>
  </si>
  <si>
    <t>2/1/2016</t>
  </si>
  <si>
    <t>10/31/2024</t>
  </si>
  <si>
    <t xml:space="preserve">    Eleven</t>
  </si>
  <si>
    <t>67th</t>
  </si>
  <si>
    <t>5/1/2016</t>
  </si>
  <si>
    <t xml:space="preserve">    Elj Marketing Service Inc</t>
  </si>
  <si>
    <t>8/31/2037</t>
  </si>
  <si>
    <t xml:space="preserve">    Elmo Realty Co. Inc.</t>
  </si>
  <si>
    <t>51st</t>
  </si>
  <si>
    <t>6/1/1995</t>
  </si>
  <si>
    <t>8/31/2027</t>
  </si>
  <si>
    <t xml:space="preserve">    Emerson Reid</t>
  </si>
  <si>
    <t>37th</t>
  </si>
  <si>
    <t>9/1/2020</t>
  </si>
  <si>
    <t>9/30/2035</t>
  </si>
  <si>
    <t xml:space="preserve">    Empire Capital Partners</t>
  </si>
  <si>
    <t xml:space="preserve">    Empire Diamond Corporation</t>
  </si>
  <si>
    <t>3/1/1998</t>
  </si>
  <si>
    <t>5/31/2025</t>
  </si>
  <si>
    <t xml:space="preserve">    Empire State Concrete Polishing</t>
  </si>
  <si>
    <t>1/1/2021</t>
  </si>
  <si>
    <t xml:space="preserve">    Empire Valuation Consultants</t>
  </si>
  <si>
    <t>5/1/1998</t>
  </si>
  <si>
    <t>5/31/2028</t>
  </si>
  <si>
    <t xml:space="preserve">    Exeplex</t>
  </si>
  <si>
    <t xml:space="preserve">    Expedia</t>
  </si>
  <si>
    <t>72nd</t>
  </si>
  <si>
    <t>3/1/2016</t>
  </si>
  <si>
    <t>3/31/2024</t>
  </si>
  <si>
    <t xml:space="preserve">    Fairway Management</t>
  </si>
  <si>
    <t>11th</t>
  </si>
  <si>
    <t>6/30/2040</t>
  </si>
  <si>
    <t xml:space="preserve">    Ferrum International Ltd</t>
  </si>
  <si>
    <t>6/1/2003</t>
  </si>
  <si>
    <t>7/31/2024</t>
  </si>
  <si>
    <t xml:space="preserve">    Fine Sheer Industries</t>
  </si>
  <si>
    <t>1/1/2006</t>
  </si>
  <si>
    <t>9/30/2036</t>
  </si>
  <si>
    <t xml:space="preserve">    Funaro &amp; Co., P.C.</t>
  </si>
  <si>
    <t>10/1/2008</t>
  </si>
  <si>
    <t>6/30/2028</t>
  </si>
  <si>
    <t xml:space="preserve">    Gaitlin Capital</t>
  </si>
  <si>
    <t>35th</t>
  </si>
  <si>
    <t>6/30/2053</t>
  </si>
  <si>
    <t xml:space="preserve">    Global Brands Group</t>
  </si>
  <si>
    <t>1/1/2013</t>
  </si>
  <si>
    <t>10/31/2025</t>
  </si>
  <si>
    <t>6th</t>
  </si>
  <si>
    <t>10/31/2027</t>
  </si>
  <si>
    <t>7th</t>
  </si>
  <si>
    <t>8th</t>
  </si>
  <si>
    <t xml:space="preserve">    Goldin Associates, LLC</t>
  </si>
  <si>
    <t>44th</t>
  </si>
  <si>
    <t>2/1/2008</t>
  </si>
  <si>
    <t>7/31/2026</t>
  </si>
  <si>
    <t xml:space="preserve">    Guild Group</t>
  </si>
  <si>
    <t>6/30/2034</t>
  </si>
  <si>
    <t xml:space="preserve">    H. Roske &amp; Associates LLP</t>
  </si>
  <si>
    <t xml:space="preserve">    Hansen Technologies</t>
  </si>
  <si>
    <t>12/1/2018</t>
  </si>
  <si>
    <t xml:space="preserve">    HNTB</t>
  </si>
  <si>
    <t>56th, 57th, 58th</t>
  </si>
  <si>
    <t>1/1/2016</t>
  </si>
  <si>
    <t>2/28/2029</t>
  </si>
  <si>
    <t xml:space="preserve">    Human Rights Foundation</t>
  </si>
  <si>
    <t>10/1/2011</t>
  </si>
  <si>
    <t>9/30/2026</t>
  </si>
  <si>
    <t xml:space="preserve">    Human Rights Watch, Inc.</t>
  </si>
  <si>
    <t>33rd, 34th, 35th</t>
  </si>
  <si>
    <t>1/1/1998</t>
  </si>
  <si>
    <t>11/30/2026</t>
  </si>
  <si>
    <t xml:space="preserve">    Impact</t>
  </si>
  <si>
    <t>36th</t>
  </si>
  <si>
    <t>8/1/2019</t>
  </si>
  <si>
    <t xml:space="preserve">    In8bio</t>
  </si>
  <si>
    <t xml:space="preserve">    Incomex</t>
  </si>
  <si>
    <t>58th</t>
  </si>
  <si>
    <t>11/1/2021</t>
  </si>
  <si>
    <t>11/30/2036</t>
  </si>
  <si>
    <t xml:space="preserve">    Isde</t>
  </si>
  <si>
    <t>2/28/2027</t>
  </si>
  <si>
    <t xml:space="preserve">    JCDecaux North America</t>
  </si>
  <si>
    <t>73rd, 74th</t>
  </si>
  <si>
    <t>10/1/2016</t>
  </si>
  <si>
    <t xml:space="preserve">    Joe's Jeans</t>
  </si>
  <si>
    <t>11/1/2020</t>
  </si>
  <si>
    <t xml:space="preserve">    Jonathan C. Reiter Law Firm, PLLC</t>
  </si>
  <si>
    <t xml:space="preserve">    Juice Press</t>
  </si>
  <si>
    <t>6/1/2018</t>
  </si>
  <si>
    <t>3/31/2025</t>
  </si>
  <si>
    <t xml:space="preserve">    Kaltex North America</t>
  </si>
  <si>
    <t>70th, 71st</t>
  </si>
  <si>
    <t>5/1/2015</t>
  </si>
  <si>
    <t>8/31/2025</t>
  </si>
  <si>
    <t xml:space="preserve">    Kaplan International English</t>
  </si>
  <si>
    <t>71st</t>
  </si>
  <si>
    <t>3/1/2017</t>
  </si>
  <si>
    <t>2/28/2034</t>
  </si>
  <si>
    <t xml:space="preserve">    Kissling Realty</t>
  </si>
  <si>
    <t>9/30/2025</t>
  </si>
  <si>
    <t xml:space="preserve">    KSTM</t>
  </si>
  <si>
    <t>10/31/2034</t>
  </si>
  <si>
    <t xml:space="preserve">    Langley Stanton</t>
  </si>
  <si>
    <t>13th</t>
  </si>
  <si>
    <t>6/30/2049</t>
  </si>
  <si>
    <t xml:space="preserve">    Law Offices of Jungmin Cho, PC</t>
  </si>
  <si>
    <t xml:space="preserve">    Lax &amp; Neville LLP</t>
  </si>
  <si>
    <t xml:space="preserve">    Lectra</t>
  </si>
  <si>
    <t xml:space="preserve">    Legacy Martin</t>
  </si>
  <si>
    <t>70th</t>
  </si>
  <si>
    <t xml:space="preserve">    Merigold Financial</t>
  </si>
  <si>
    <t>6/30/2033</t>
  </si>
  <si>
    <t xml:space="preserve">    Lester Bleckner &amp; Shaw LLP</t>
  </si>
  <si>
    <t>33rd</t>
  </si>
  <si>
    <t>2/1/2014</t>
  </si>
  <si>
    <t xml:space="preserve">    Levine &amp; Blit, LLP</t>
  </si>
  <si>
    <t>40th</t>
  </si>
  <si>
    <t>10/1/2017</t>
  </si>
  <si>
    <t>7/31/2032</t>
  </si>
  <si>
    <t xml:space="preserve">    Licensing International</t>
  </si>
  <si>
    <t>7/1/2015</t>
  </si>
  <si>
    <t>11/30/2030</t>
  </si>
  <si>
    <t xml:space="preserve">    LinkedIn Corporation</t>
  </si>
  <si>
    <t>3rd, 14th, 15th, 16th, 22nd, 23rd, 24th, 25th, 26th, 27th, 28th</t>
  </si>
  <si>
    <t>9/1/2011</t>
  </si>
  <si>
    <t>8/31/2036</t>
  </si>
  <si>
    <t xml:space="preserve">    Marshall &amp; Stevens, Inc.</t>
  </si>
  <si>
    <t>4/1/2016</t>
  </si>
  <si>
    <t>4/30/2031</t>
  </si>
  <si>
    <t xml:space="preserve">    McKorkin and Bailey</t>
  </si>
  <si>
    <t>6/30/2050</t>
  </si>
  <si>
    <t xml:space="preserve">  Collymore Partners</t>
  </si>
  <si>
    <t>6/30/2051</t>
  </si>
  <si>
    <t xml:space="preserve">    Media Information Services</t>
  </si>
  <si>
    <t>4/1/2012</t>
  </si>
  <si>
    <t xml:space="preserve">    Merit Consulting</t>
  </si>
  <si>
    <t>45th</t>
  </si>
  <si>
    <t>6/30/2027</t>
  </si>
  <si>
    <t xml:space="preserve">    Midtown Eye</t>
  </si>
  <si>
    <t>24th</t>
  </si>
  <si>
    <t>6/30/2036</t>
  </si>
  <si>
    <t xml:space="preserve">    Miss Lash</t>
  </si>
  <si>
    <t xml:space="preserve">    Monteverde &amp; Associates</t>
  </si>
  <si>
    <t xml:space="preserve">    Motion Partners</t>
  </si>
  <si>
    <t>6/30/2048</t>
  </si>
  <si>
    <t xml:space="preserve">    Mu Sigma</t>
  </si>
  <si>
    <t xml:space="preserve">    NDC Partners</t>
  </si>
  <si>
    <t>6/30/2035</t>
  </si>
  <si>
    <t xml:space="preserve">    Advanced Resources</t>
  </si>
  <si>
    <t>1/1/2018</t>
  </si>
  <si>
    <t xml:space="preserve">    Nosawa &amp; Co., Ltd.</t>
  </si>
  <si>
    <t>2/29/2028</t>
  </si>
  <si>
    <t xml:space="preserve">    Oasis</t>
  </si>
  <si>
    <t>23rd</t>
  </si>
  <si>
    <t xml:space="preserve">    Otoole Fernandez Wiener Van</t>
  </si>
  <si>
    <t>4/30/2032</t>
  </si>
  <si>
    <t xml:space="preserve">    Pacchiosi Drill Usa, Inc</t>
  </si>
  <si>
    <t>9/1/2010</t>
  </si>
  <si>
    <t xml:space="preserve">    Pacific Century Cyberworks</t>
  </si>
  <si>
    <t xml:space="preserve">    Palo Alto Networks, Inc.</t>
  </si>
  <si>
    <t>2/1/2015</t>
  </si>
  <si>
    <t xml:space="preserve">    Pan Communications</t>
  </si>
  <si>
    <t>11/1/2018</t>
  </si>
  <si>
    <t xml:space="preserve">    Pantheon Capital</t>
  </si>
  <si>
    <t>6/30/2044</t>
  </si>
  <si>
    <t xml:space="preserve">    Particle Media</t>
  </si>
  <si>
    <t>8/1/2022</t>
  </si>
  <si>
    <t>8/31/2024</t>
  </si>
  <si>
    <t xml:space="preserve">    Peter Lampack Agency Inc</t>
  </si>
  <si>
    <t>5/1/2010</t>
  </si>
  <si>
    <t xml:space="preserve">    Phillips and Stark</t>
  </si>
  <si>
    <t>6/30/2047</t>
  </si>
  <si>
    <t xml:space="preserve">    Phillips Engineering</t>
  </si>
  <si>
    <t>6/30/2045</t>
  </si>
  <si>
    <t xml:space="preserve">  Lincoln</t>
  </si>
  <si>
    <t>6/30/2032</t>
  </si>
  <si>
    <t xml:space="preserve">    Phoenix Tech</t>
  </si>
  <si>
    <t xml:space="preserve">    Pierce, Zimmerman and Dawsom</t>
  </si>
  <si>
    <t>6/30/2054</t>
  </si>
  <si>
    <t xml:space="preserve">    Pro Active Maintenance</t>
  </si>
  <si>
    <t>11/30/2029</t>
  </si>
  <si>
    <t xml:space="preserve">    Procomp Hr</t>
  </si>
  <si>
    <t xml:space="preserve">    Project Management Advisors</t>
  </si>
  <si>
    <t>9/1/2021</t>
  </si>
  <si>
    <t>8/31/2026</t>
  </si>
  <si>
    <t xml:space="preserve">    Qatar Airways</t>
  </si>
  <si>
    <t xml:space="preserve">    Qlik Technologies Inc</t>
  </si>
  <si>
    <t xml:space="preserve">    RaySearch Laboratories</t>
  </si>
  <si>
    <t xml:space="preserve">    Rda Real Estate Service Pllc</t>
  </si>
  <si>
    <t>9/30/2029</t>
  </si>
  <si>
    <t xml:space="preserve">    Retail Concepts LLC</t>
  </si>
  <si>
    <t>3/1/2022</t>
  </si>
  <si>
    <t>2/28/2031</t>
  </si>
  <si>
    <t xml:space="preserve">    Revolution LLC</t>
  </si>
  <si>
    <t>12th</t>
  </si>
  <si>
    <t>6/30/2041</t>
  </si>
  <si>
    <t xml:space="preserve">    Rexford Holding Management, LLC</t>
  </si>
  <si>
    <t>5/1/2013</t>
  </si>
  <si>
    <t xml:space="preserve">    RIRI USA</t>
  </si>
  <si>
    <t>8/1/2007</t>
  </si>
  <si>
    <t>10/31/2032</t>
  </si>
  <si>
    <t xml:space="preserve">    RobertDouglas</t>
  </si>
  <si>
    <t>9/1/2016</t>
  </si>
  <si>
    <t>5/31/2026</t>
  </si>
  <si>
    <t xml:space="preserve">    Rocket Pharma</t>
  </si>
  <si>
    <t>75th</t>
  </si>
  <si>
    <t>7/1/2018</t>
  </si>
  <si>
    <t>9/30/2028</t>
  </si>
  <si>
    <t xml:space="preserve">    Rosario E Magno International Staffing</t>
  </si>
  <si>
    <t>7/1/2020</t>
  </si>
  <si>
    <t xml:space="preserve">    Russo PLLC</t>
  </si>
  <si>
    <t>1/31/2032</t>
  </si>
  <si>
    <t xml:space="preserve">    Semler Brossy</t>
  </si>
  <si>
    <t>1/31/2033</t>
  </si>
  <si>
    <t xml:space="preserve">    Seniorlaw Home Page</t>
  </si>
  <si>
    <t xml:space="preserve">    Shake Inc</t>
  </si>
  <si>
    <t>9/30/2032</t>
  </si>
  <si>
    <t xml:space="preserve">    Shandling &amp; Landsman LLP</t>
  </si>
  <si>
    <t>9/1/2004</t>
  </si>
  <si>
    <t>9/30/2024</t>
  </si>
  <si>
    <t xml:space="preserve">    Shelder &amp; Cohen</t>
  </si>
  <si>
    <t>1/31/2031</t>
  </si>
  <si>
    <t xml:space="preserve">    Showtime Pictures</t>
  </si>
  <si>
    <t>2nd</t>
  </si>
  <si>
    <t>4/1/2008</t>
  </si>
  <si>
    <t xml:space="preserve">    Shutterstock</t>
  </si>
  <si>
    <t>20th, 21st</t>
  </si>
  <si>
    <t>8/1/2013</t>
  </si>
  <si>
    <t xml:space="preserve">    Signature Partners</t>
  </si>
  <si>
    <t>20th</t>
  </si>
  <si>
    <t>6/30/2043</t>
  </si>
  <si>
    <t xml:space="preserve">    Skanska</t>
  </si>
  <si>
    <t>32nd</t>
  </si>
  <si>
    <t>9/1/2008</t>
  </si>
  <si>
    <t xml:space="preserve">    Smaato</t>
  </si>
  <si>
    <t>77th</t>
  </si>
  <si>
    <t>3/1/2015</t>
  </si>
  <si>
    <t>12/31/2032</t>
  </si>
  <si>
    <t xml:space="preserve">    Smartbox</t>
  </si>
  <si>
    <t>3/31/2036</t>
  </si>
  <si>
    <t xml:space="preserve">    Stanley, Stanley and Drunkenmiller</t>
  </si>
  <si>
    <t>21st</t>
  </si>
  <si>
    <t xml:space="preserve">    Starbucks</t>
  </si>
  <si>
    <t>CNCR, GRND, 2nd</t>
  </si>
  <si>
    <t>12/31/2031</t>
  </si>
  <si>
    <t xml:space="preserve">    STATE Grill &amp; Bar</t>
  </si>
  <si>
    <t xml:space="preserve">    Steinway Capital</t>
  </si>
  <si>
    <t>6/30/2039</t>
  </si>
  <si>
    <t xml:space="preserve">    Strawberry Frog Llc</t>
  </si>
  <si>
    <t xml:space="preserve">    Sushi-teria</t>
  </si>
  <si>
    <t>2/28/2025</t>
  </si>
  <si>
    <t xml:space="preserve">    Swedbank New York</t>
  </si>
  <si>
    <t>5/1/2021</t>
  </si>
  <si>
    <t xml:space="preserve">    Tacombi</t>
  </si>
  <si>
    <t xml:space="preserve">    Tanisha Systems Inc.</t>
  </si>
  <si>
    <t>10/1/2013</t>
  </si>
  <si>
    <t xml:space="preserve">    The Kretchmer Companies</t>
  </si>
  <si>
    <t xml:space="preserve">    T-load Usa</t>
  </si>
  <si>
    <t xml:space="preserve">    T-M Corporation LLC</t>
  </si>
  <si>
    <t>19th</t>
  </si>
  <si>
    <t>1/1/2008</t>
  </si>
  <si>
    <t xml:space="preserve">    Trespa North America</t>
  </si>
  <si>
    <t>11/1/2017</t>
  </si>
  <si>
    <t xml:space="preserve">    Tru</t>
  </si>
  <si>
    <t xml:space="preserve">    Tupps and Fuller</t>
  </si>
  <si>
    <t xml:space="preserve">    Turkish Airlines</t>
  </si>
  <si>
    <t>2/1/2011</t>
  </si>
  <si>
    <t xml:space="preserve">  Allen C. Schneider &amp; Co</t>
  </si>
  <si>
    <t xml:space="preserve">    Unipharm, Inc.</t>
  </si>
  <si>
    <t>1/1/1997</t>
  </si>
  <si>
    <t xml:space="preserve">    USI</t>
  </si>
  <si>
    <t>2/1/2018</t>
  </si>
  <si>
    <t xml:space="preserve">    VB Porter &amp; Company</t>
  </si>
  <si>
    <t xml:space="preserve">    Walgreens</t>
  </si>
  <si>
    <t>12/1/2019</t>
  </si>
  <si>
    <t>12/31/2029</t>
  </si>
  <si>
    <t xml:space="preserve">    Wear Me Apparel</t>
  </si>
  <si>
    <t xml:space="preserve">    Whitehaven Financial Partners</t>
  </si>
  <si>
    <t>57th</t>
  </si>
  <si>
    <t>7/1/2022</t>
  </si>
  <si>
    <t xml:space="preserve">    Wiland</t>
  </si>
  <si>
    <t>10/1/2019</t>
  </si>
  <si>
    <t>12/31/2034</t>
  </si>
  <si>
    <t xml:space="preserve">    Workday</t>
  </si>
  <si>
    <t>49th</t>
  </si>
  <si>
    <t>8/1/2015</t>
  </si>
  <si>
    <t xml:space="preserve">    ZS Associates, Inc.</t>
  </si>
  <si>
    <t>6/1/2016</t>
  </si>
  <si>
    <t xml:space="preserve">  Big Blocks (1 of 6)</t>
  </si>
  <si>
    <t>Auto Lease-Up</t>
  </si>
  <si>
    <t>Speculative</t>
  </si>
  <si>
    <t xml:space="preserve">  Big Blocks (2 of 6)</t>
  </si>
  <si>
    <t xml:space="preserve">  Big Blocks (3 of 6)</t>
  </si>
  <si>
    <t>10/1/2024</t>
  </si>
  <si>
    <t>9/30/2034</t>
  </si>
  <si>
    <t xml:space="preserve">  Big Blocks (4 of 6)</t>
  </si>
  <si>
    <t>1/1/2025</t>
  </si>
  <si>
    <t xml:space="preserve">  Big Blocks (5 of 6)</t>
  </si>
  <si>
    <t xml:space="preserve">  Big Blocks (6 of 6)</t>
  </si>
  <si>
    <t xml:space="preserve">  Spec Suites (1 of 4)</t>
  </si>
  <si>
    <t xml:space="preserve">  Spec Suites (2 of 4)</t>
  </si>
  <si>
    <t xml:space="preserve">  Spec Suites (3 of 4)</t>
  </si>
  <si>
    <t>7/1/2024</t>
  </si>
  <si>
    <t xml:space="preserve">  Spec Suites (4 of 4)</t>
  </si>
  <si>
    <t xml:space="preserve">  Full Floors (1 of 4)</t>
  </si>
  <si>
    <t xml:space="preserve">  Full Floors (2 of 4)</t>
  </si>
  <si>
    <t xml:space="preserve">  Full Floors (3 of 4)</t>
  </si>
  <si>
    <t xml:space="preserve">  Full Floors (4 of 4)</t>
  </si>
  <si>
    <t xml:space="preserve">  Retail (1 of 3)</t>
  </si>
  <si>
    <t xml:space="preserve">  Retail (2 of 3)</t>
  </si>
  <si>
    <t xml:space="preserve">  Retail (3 of 3)</t>
  </si>
  <si>
    <t xml:space="preserve">  Total</t>
  </si>
  <si>
    <t>The Empire State Building</t>
  </si>
  <si>
    <t>350 Fifth Avenue</t>
  </si>
  <si>
    <t>New York, NY</t>
  </si>
  <si>
    <t>10</t>
  </si>
  <si>
    <t>Jan, 2024 through Dec, 2034</t>
  </si>
  <si>
    <t>Tenant Rent Roll</t>
  </si>
  <si>
    <t>Jan, 2024 through Dec, 2024</t>
  </si>
  <si>
    <t>Grouped By - None</t>
  </si>
  <si>
    <t>Office - Low</t>
  </si>
  <si>
    <t>Office - Mid</t>
  </si>
  <si>
    <t>Office - High</t>
  </si>
  <si>
    <t>Ground</t>
  </si>
  <si>
    <t>5th</t>
  </si>
  <si>
    <t>59th</t>
  </si>
  <si>
    <t>78th</t>
  </si>
  <si>
    <t>Big Block</t>
  </si>
  <si>
    <t>Full Floor</t>
  </si>
  <si>
    <t>Spec</t>
  </si>
  <si>
    <t>The Empire State Building (Final Valuation) (Amounts in USD)</t>
  </si>
  <si>
    <t>1/23/2026 10:52:08 AM</t>
  </si>
  <si>
    <t>1/23/2026 10:53:12 AM</t>
  </si>
  <si>
    <t>12/31/2033</t>
  </si>
  <si>
    <t>7/1/2025</t>
  </si>
  <si>
    <t>1/1/2026</t>
  </si>
  <si>
    <t>12/31/2035</t>
  </si>
  <si>
    <t>7/1/2026</t>
  </si>
  <si>
    <t>4/1/2024</t>
  </si>
  <si>
    <t>3/31/2034</t>
  </si>
  <si>
    <t>12/31/2030</t>
  </si>
  <si>
    <t>3/31/2031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</si>
</sst>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0.00_);\(#,##0.00\);_(&quot;–&quot;_);_(@_)"/>
    <numFmt numFmtId="166" formatCode="_(#,##0_);\(#,##0\);_(&quot;–&quot;_);_(@_)"/>
    <numFmt numFmtId="167" formatCode="_(#,##0_)_%;\(#,##0\)_%;_(&quot;–&quot;_)_%;_(@_)_%"/>
    <numFmt numFmtId="168" formatCode="#,##0\ &quot;SF&quot;"/>
    <numFmt numFmtId="169" formatCode="[$-409]mmm\-yy;@"/>
    <numFmt numFmtId="170" formatCode="0\ &quot;YRS&quot;"/>
    <numFmt numFmtId="171" formatCode="0.0%"/>
    <numFmt numFmtId="172" formatCode="#,##0.00\x;;\-"/>
    <numFmt numFmtId="173" formatCode="0.000%"/>
    <numFmt numFmtId="174" formatCode="&quot;Year&quot;\ ###"/>
    <numFmt numFmtId="175" formatCode="#,000&quot; SF&quot;"/>
    <numFmt numFmtId="176" formatCode="&quot;$&quot;0.00&quot;/SF&quot;"/>
    <numFmt numFmtId="177" formatCode="&quot;Year&quot;\ 0"/>
    <numFmt numFmtId="178" formatCode="&quot;$&quot;#,##0"/>
    <numFmt numFmtId="179" formatCode="&quot;$&quot;##&quot; psf&quot;"/>
    <numFmt numFmtId="180" formatCode="0.00&quot;x&quot;"/>
    <numFmt numFmtId="181" formatCode="00000"/>
    <numFmt numFmtId="182" formatCode="###,###\ &quot;SF&quot;"/>
    <numFmt numFmtId="183" formatCode="0.00&quot;X&quot;"/>
    <numFmt numFmtId="184" formatCode="&quot;$&quot;#0&quot;/SF&quot;"/>
    <numFmt numFmtId="185" formatCode="&quot;$&quot;#,##0.00&quot;/SF&quot;"/>
    <numFmt numFmtId="186" formatCode="&quot;YEAR &quot;##"/>
    <numFmt numFmtId="187" formatCode="_(&quot;$&quot;* #,##0_);_(&quot;$&quot;* \(#,##0\);_(&quot;$&quot;* &quot;-&quot;??_);_(@_)"/>
    <numFmt numFmtId="188" formatCode="0&quot;YRS&quot;"/>
    <numFmt numFmtId="189" formatCode="##\ &quot;Yr&quot;"/>
    <numFmt numFmtId="190" formatCode="0.0"/>
    <numFmt numFmtId="191" formatCode="_(&quot;$&quot;* #,##0.000_);_(&quot;$&quot;* \(#,##0.000\);_(&quot;$&quot;* &quot;-&quot;_);_(@_)"/>
  </numFmts>
  <fonts count="5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12"/>
      <color theme="0"/>
      <name val="Calibri"/>
      <family val="2"/>
      <scheme val="minor"/>
    </font>
    <font>
      <sz val="9"/>
      <color theme="1"/>
      <name val="Calibri"/>
      <family val="2"/>
      <scheme val="minor"/>
    </font>
    <font>
      <b/>
      <sz val="9"/>
      <color theme="0"/>
      <name val="Calibri"/>
      <family val="2"/>
      <scheme val="minor"/>
    </font>
    <font>
      <sz val="9"/>
      <name val="Calibri"/>
      <family val="2"/>
      <scheme val="minor"/>
    </font>
    <font>
      <sz val="9"/>
      <name val="Calibri"/>
      <family val="2"/>
    </font>
    <font>
      <sz val="9"/>
      <color theme="0"/>
      <name val="Calibri"/>
      <family val="2"/>
      <scheme val="minor"/>
    </font>
    <font>
      <b/>
      <i/>
      <vertAlign val="superscript"/>
      <sz val="9"/>
      <color theme="1"/>
      <name val="Calibri"/>
      <family val="2"/>
      <scheme val="minor"/>
    </font>
    <font>
      <b/>
      <i/>
      <sz val="9"/>
      <color theme="1"/>
      <name val="Calibri"/>
      <family val="2"/>
      <scheme val="minor"/>
    </font>
    <font>
      <vertAlign val="superscript"/>
      <sz val="9"/>
      <color theme="1"/>
      <name val="Calibri"/>
      <family val="2"/>
      <scheme val="minor"/>
    </font>
    <font>
      <b/>
      <sz val="9"/>
      <color theme="1"/>
      <name val="Calibri"/>
      <family val="2"/>
      <scheme val="minor"/>
    </font>
    <font>
      <i/>
      <sz val="11"/>
      <color theme="1"/>
      <name val="Calibri"/>
      <family val="2"/>
      <scheme val="minor"/>
    </font>
    <font>
      <i/>
      <sz val="10"/>
      <color theme="1"/>
      <name val="Calibri"/>
      <family val="2"/>
      <scheme val="minor"/>
    </font>
    <font>
      <sz val="11"/>
      <color theme="1"/>
      <name val="Calibri"/>
      <family val="2"/>
    </font>
    <font>
      <b/>
      <sz val="11"/>
      <name val="Calibri"/>
      <family val="2"/>
      <scheme val="minor"/>
    </font>
    <font>
      <b/>
      <sz val="11"/>
      <color rgb="FF0000FF"/>
      <name val="Calibri"/>
      <family val="2"/>
      <scheme val="minor"/>
    </font>
    <font>
      <sz val="11"/>
      <color rgb="FF0000FF"/>
      <name val="Calibri"/>
      <family val="2"/>
      <scheme val="minor"/>
    </font>
    <font>
      <sz val="11"/>
      <name val="Calibri"/>
      <family val="2"/>
      <scheme val="minor"/>
    </font>
    <font>
      <b/>
      <u/>
      <sz val="11"/>
      <color theme="1"/>
      <name val="Calibri"/>
      <family val="2"/>
      <scheme val="minor"/>
    </font>
    <font>
      <b/>
      <i/>
      <sz val="11"/>
      <color theme="1"/>
      <name val="Calibri"/>
      <family val="2"/>
      <scheme val="minor"/>
    </font>
    <font>
      <b/>
      <sz val="11"/>
      <color rgb="FFFF0000"/>
      <name val="Calibri"/>
      <family val="2"/>
      <scheme val="minor"/>
    </font>
    <font>
      <b/>
      <sz val="15"/>
      <name val="Calibri"/>
      <family val="2"/>
      <scheme val="minor"/>
    </font>
    <font>
      <b/>
      <i/>
      <u/>
      <sz val="11"/>
      <name val="Calibri"/>
      <family val="2"/>
      <scheme val="minor"/>
    </font>
    <font>
      <sz val="11"/>
      <color rgb="FF000000"/>
      <name val="Calibri"/>
      <family val="2"/>
      <scheme val="minor"/>
    </font>
    <font>
      <b/>
      <sz val="11"/>
      <color rgb="FF000000"/>
      <name val="Calibri"/>
      <family val="2"/>
      <scheme val="minor"/>
    </font>
    <font>
      <sz val="11"/>
      <color theme="0"/>
      <name val="Calibri"/>
      <family val="2"/>
      <scheme val="minor"/>
    </font>
    <font>
      <b/>
      <sz val="25"/>
      <color theme="0"/>
      <name val="Calibri"/>
      <family val="2"/>
      <scheme val="minor"/>
    </font>
    <font>
      <sz val="8"/>
      <color rgb="FF80808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FF"/>
      <name val="Calibri"/>
      <family val="2"/>
      <scheme val="minor"/>
    </font>
    <font>
      <sz val="12"/>
      <color rgb="FF008000"/>
      <name val="Calibri"/>
      <family val="2"/>
      <scheme val="minor"/>
    </font>
    <font>
      <b/>
      <sz val="9"/>
      <color rgb="FFFFFFFF"/>
      <name val="Calibri"/>
      <family val="2"/>
      <scheme val="minor"/>
    </font>
    <font>
      <sz val="9"/>
      <color rgb="FFFFFFFF"/>
      <name val="Calibri"/>
      <family val="2"/>
      <scheme val="minor"/>
    </font>
    <font>
      <vertAlign val="superscript"/>
      <sz val="9"/>
      <color rgb="FFFFFFFF"/>
      <name val="Calibri"/>
      <family val="2"/>
      <scheme val="minor"/>
    </font>
    <font>
      <b/>
      <u/>
      <sz val="11"/>
      <color rgb="FF0000FF"/>
      <name val="Calibri"/>
      <family val="2"/>
      <scheme val="minor"/>
    </font>
    <font>
      <i/>
      <sz val="11"/>
      <name val="Calibri"/>
      <family val="2"/>
      <scheme val="minor"/>
    </font>
    <font>
      <b/>
      <sz val="9"/>
      <color indexed="81"/>
      <name val="Tahoma"/>
      <family val="2"/>
    </font>
    <font>
      <sz val="11"/>
      <color theme="0" tint="-0.14999847407452621"/>
      <name val="Calibri"/>
      <family val="2"/>
      <scheme val="minor"/>
    </font>
    <font>
      <b/>
      <sz val="11"/>
      <color theme="0" tint="-0.14999847407452621"/>
      <name val="Calibri"/>
      <family val="2"/>
      <scheme val="minor"/>
    </font>
    <font>
      <vertAlign val="superscript"/>
      <sz val="9"/>
      <name val="Calibri"/>
      <family val="2"/>
      <scheme val="minor"/>
    </font>
    <font>
      <sz val="8"/>
      <color rgb="FF000000"/>
      <name val="Tahoma"/>
      <family val="2"/>
    </font>
    <font>
      <u/>
      <sz val="8"/>
      <color rgb="FF000000"/>
      <name val="Tahoma"/>
      <family val="2"/>
    </font>
    <font>
      <b/>
      <sz val="8"/>
      <color rgb="FF000000"/>
      <name val="Tahoma"/>
      <family val="2"/>
    </font>
    <font>
      <sz val="8"/>
      <color rgb="FF808080"/>
      <name val="Tahoma"/>
      <family val="2"/>
    </font>
    <font>
      <b/>
      <sz val="11"/>
      <color rgb="FF000000"/>
      <name val="Tahoma"/>
      <family val="2"/>
    </font>
    <font>
      <b/>
      <u/>
      <sz val="8"/>
      <color rgb="FF000000"/>
      <name val="Tahoma"/>
      <family val="2"/>
    </font>
  </fonts>
  <fills count="16">
    <fill>
      <patternFill patternType="none"/>
    </fill>
    <fill>
      <patternFill patternType="gray125"/>
    </fill>
    <fill>
      <patternFill patternType="solid">
        <fgColor theme="0"/>
        <bgColor indexed="64"/>
      </patternFill>
    </fill>
    <fill>
      <patternFill patternType="solid">
        <fgColor rgb="FF969696"/>
        <bgColor indexed="64"/>
      </patternFill>
    </fill>
    <fill>
      <patternFill patternType="solid">
        <fgColor theme="0" tint="-0.14999847407452621"/>
        <bgColor indexed="64"/>
      </patternFill>
    </fill>
    <fill>
      <patternFill patternType="solid">
        <fgColor rgb="FF006698"/>
        <bgColor indexed="64"/>
      </patternFill>
    </fill>
    <fill>
      <patternFill patternType="solid">
        <fgColor rgb="FF28AED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rgb="FF00206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B0C4DE"/>
      </patternFill>
    </fill>
    <fill>
      <patternFill patternType="solid">
        <fgColor theme="9" tint="0.79998168889431442"/>
        <bgColor indexed="64"/>
      </patternFill>
    </fill>
    <fill>
      <patternFill patternType="solid">
        <fgColor theme="3" tint="0.79998168889431442"/>
        <bgColor indexed="64"/>
      </patternFill>
    </fill>
  </fills>
  <borders count="8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ck">
        <color theme="0" tint="-0.14996795556505021"/>
      </top>
      <bottom style="thick">
        <color theme="0" tint="-0.14996795556505021"/>
      </bottom>
      <diagonal/>
    </border>
    <border>
      <left/>
      <right/>
      <top style="thin">
        <color rgb="FF231F20"/>
      </top>
      <bottom style="thin">
        <color rgb="FF231F20"/>
      </bottom>
      <diagonal/>
    </border>
    <border>
      <left/>
      <right/>
      <top/>
      <bottom style="thick">
        <color rgb="FF006698"/>
      </bottom>
      <diagonal/>
    </border>
    <border>
      <left/>
      <right/>
      <top/>
      <bottom style="thick">
        <color theme="0" tint="-0.14999847407452621"/>
      </bottom>
      <diagonal/>
    </border>
    <border>
      <left/>
      <right/>
      <top style="thick">
        <color theme="0" tint="-0.14999847407452621"/>
      </top>
      <bottom style="thick">
        <color theme="0" tint="-0.499984740745262"/>
      </bottom>
      <diagonal/>
    </border>
    <border>
      <left/>
      <right/>
      <top style="thin">
        <color rgb="FF231F20"/>
      </top>
      <bottom/>
      <diagonal/>
    </border>
    <border>
      <left/>
      <right/>
      <top/>
      <bottom style="thin">
        <color rgb="FF231F20"/>
      </bottom>
      <diagonal/>
    </border>
    <border>
      <left/>
      <right/>
      <top style="thick">
        <color theme="0" tint="-0.14999847407452621"/>
      </top>
      <bottom style="thick">
        <color rgb="FF006698"/>
      </bottom>
      <diagonal/>
    </border>
    <border>
      <left/>
      <right/>
      <top style="thick">
        <color theme="0" tint="-0.14999847407452621"/>
      </top>
      <bottom style="thick">
        <color theme="0" tint="-0.14999847407452621"/>
      </bottom>
      <diagonal/>
    </border>
    <border>
      <left/>
      <right/>
      <top style="thick">
        <color theme="0" tint="-0.1499984740745262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theme="0"/>
      </right>
      <top/>
      <bottom/>
      <diagonal/>
    </border>
    <border>
      <left/>
      <right/>
      <top style="thin">
        <color indexed="64"/>
      </top>
      <bottom/>
      <diagonal/>
    </border>
    <border>
      <left/>
      <right/>
      <top style="thin">
        <color indexed="64"/>
      </top>
      <bottom style="double">
        <color indexed="64"/>
      </bottom>
      <diagonal/>
    </border>
    <border>
      <left style="dotted">
        <color rgb="FF006698"/>
      </left>
      <right style="dotted">
        <color rgb="FF006698"/>
      </right>
      <top/>
      <bottom style="thick">
        <color rgb="FF006698"/>
      </bottom>
      <diagonal/>
    </border>
    <border>
      <left style="dotted">
        <color rgb="FF006698"/>
      </left>
      <right style="dotted">
        <color rgb="FF006698"/>
      </right>
      <top/>
      <bottom/>
      <diagonal/>
    </border>
    <border>
      <left style="dotted">
        <color rgb="FF006698"/>
      </left>
      <right style="dotted">
        <color rgb="FF006698"/>
      </right>
      <top style="thin">
        <color rgb="FF231F20"/>
      </top>
      <bottom style="thin">
        <color rgb="FF231F20"/>
      </bottom>
      <diagonal/>
    </border>
    <border>
      <left style="dotted">
        <color rgb="FF006698"/>
      </left>
      <right style="dotted">
        <color rgb="FF006698"/>
      </right>
      <top style="thin">
        <color rgb="FF231F20"/>
      </top>
      <bottom/>
      <diagonal/>
    </border>
    <border>
      <left style="dotted">
        <color rgb="FF006698"/>
      </left>
      <right style="dotted">
        <color rgb="FF006698"/>
      </right>
      <top/>
      <bottom style="thin">
        <color rgb="FF231F20"/>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medium">
        <color auto="1"/>
      </bottom>
      <diagonal/>
    </border>
    <border>
      <left/>
      <right style="medium">
        <color auto="1"/>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hair">
        <color auto="1"/>
      </top>
      <bottom/>
      <diagonal/>
    </border>
    <border>
      <left/>
      <right/>
      <top/>
      <bottom style="hair">
        <color auto="1"/>
      </bottom>
      <diagonal/>
    </border>
    <border>
      <left/>
      <right/>
      <top style="medium">
        <color rgb="FF6593CF"/>
      </top>
      <bottom/>
      <diagonal/>
    </border>
    <border>
      <left/>
      <right/>
      <top style="thin">
        <color rgb="FF6593CF"/>
      </top>
      <bottom/>
      <diagonal/>
    </border>
    <border>
      <left/>
      <right/>
      <top style="thin">
        <color rgb="FF6593CF"/>
      </top>
      <bottom style="thin">
        <color rgb="FF6593CF"/>
      </bottom>
      <diagonal/>
    </border>
    <border>
      <left/>
      <right/>
      <top/>
      <bottom style="thin">
        <color rgb="FF6593CF"/>
      </bottom>
      <diagonal/>
    </border>
    <border>
      <left/>
      <right/>
      <top/>
      <bottom style="medium">
        <color rgb="FF6593CF"/>
      </bottom>
      <diagonal/>
    </border>
    <border>
      <left/>
      <right style="hair">
        <color auto="1"/>
      </right>
      <top/>
      <bottom/>
      <diagonal/>
    </border>
    <border>
      <left/>
      <right style="hair">
        <color auto="1"/>
      </right>
      <top/>
      <bottom style="thin">
        <color auto="1"/>
      </bottom>
      <diagonal/>
    </border>
    <border>
      <left style="hair">
        <color auto="1"/>
      </left>
      <right style="hair">
        <color auto="1"/>
      </right>
      <top/>
      <bottom/>
      <diagonal/>
    </border>
    <border>
      <left style="hair">
        <color auto="1"/>
      </left>
      <right style="hair">
        <color auto="1"/>
      </right>
      <top/>
      <bottom style="thin">
        <color auto="1"/>
      </bottom>
      <diagonal/>
    </border>
    <border>
      <left style="hair">
        <color auto="1"/>
      </left>
      <right style="hair">
        <color auto="1"/>
      </right>
      <top style="thin">
        <color indexed="64"/>
      </top>
      <bottom/>
      <diagonal/>
    </border>
    <border>
      <left style="hair">
        <color auto="1"/>
      </left>
      <right style="hair">
        <color auto="1"/>
      </right>
      <top style="thin">
        <color indexed="64"/>
      </top>
      <bottom style="double">
        <color indexed="64"/>
      </bottom>
      <diagonal/>
    </border>
    <border>
      <left style="hair">
        <color auto="1"/>
      </left>
      <right style="hair">
        <color auto="1"/>
      </right>
      <top/>
      <bottom style="medium">
        <color auto="1"/>
      </bottom>
      <diagonal/>
    </border>
    <border>
      <left style="medium">
        <color auto="1"/>
      </left>
      <right/>
      <top style="hair">
        <color auto="1"/>
      </top>
      <bottom/>
      <diagonal/>
    </border>
    <border>
      <left/>
      <right style="medium">
        <color auto="1"/>
      </right>
      <top style="hair">
        <color auto="1"/>
      </top>
      <bottom/>
      <diagonal/>
    </border>
    <border>
      <left style="medium">
        <color auto="1"/>
      </left>
      <right/>
      <top/>
      <bottom style="hair">
        <color auto="1"/>
      </bottom>
      <diagonal/>
    </border>
    <border>
      <left/>
      <right style="medium">
        <color auto="1"/>
      </right>
      <top/>
      <bottom style="hair">
        <color auto="1"/>
      </bottom>
      <diagonal/>
    </border>
    <border>
      <left/>
      <right/>
      <top style="thin">
        <color indexed="64"/>
      </top>
      <bottom style="hair">
        <color indexed="64"/>
      </bottom>
      <diagonal/>
    </border>
    <border>
      <left style="hair">
        <color indexed="64"/>
      </left>
      <right style="hair">
        <color indexed="64"/>
      </right>
      <top style="medium">
        <color indexed="64"/>
      </top>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auto="1"/>
      </left>
      <right style="medium">
        <color auto="1"/>
      </right>
      <top style="hair">
        <color auto="1"/>
      </top>
      <bottom/>
      <diagonal/>
    </border>
    <border>
      <left style="medium">
        <color auto="1"/>
      </left>
      <right style="medium">
        <color auto="1"/>
      </right>
      <top/>
      <bottom style="hair">
        <color auto="1"/>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hair">
        <color auto="1"/>
      </left>
      <right style="hair">
        <color auto="1"/>
      </right>
      <top style="hair">
        <color indexed="64"/>
      </top>
      <bottom/>
      <diagonal/>
    </border>
    <border>
      <left style="hair">
        <color auto="1"/>
      </left>
      <right style="hair">
        <color auto="1"/>
      </right>
      <top/>
      <bottom style="hair">
        <color indexed="64"/>
      </bottom>
      <diagonal/>
    </border>
    <border>
      <left style="dotted">
        <color theme="0"/>
      </left>
      <right style="dotted">
        <color theme="0"/>
      </right>
      <top style="thin">
        <color indexed="64"/>
      </top>
      <bottom style="medium">
        <color auto="1"/>
      </bottom>
      <diagonal/>
    </border>
    <border>
      <left style="medium">
        <color indexed="64"/>
      </left>
      <right style="medium">
        <color indexed="64"/>
      </right>
      <top style="medium">
        <color indexed="64"/>
      </top>
      <bottom style="thin">
        <color indexed="64"/>
      </bottom>
      <diagonal/>
    </border>
  </borders>
  <cellStyleXfs count="10">
    <xf numFmtId="0" fontId="0" fillId="0" borderId="0"/>
    <xf numFmtId="0" fontId="4" fillId="0" borderId="0"/>
    <xf numFmtId="43" fontId="1" fillId="0" borderId="0" applyFont="0" applyFill="0" applyBorder="0" applyAlignment="0" applyProtection="0"/>
    <xf numFmtId="9" fontId="1" fillId="0" borderId="0" applyFont="0" applyFill="0" applyBorder="0" applyAlignment="0" applyProtection="0"/>
    <xf numFmtId="0" fontId="17" fillId="0" borderId="0"/>
    <xf numFmtId="9" fontId="1" fillId="0" borderId="0" applyFont="0" applyFill="0" applyBorder="0" applyAlignment="0" applyProtection="0"/>
    <xf numFmtId="0" fontId="1" fillId="0" borderId="0"/>
    <xf numFmtId="9" fontId="4" fillId="0" borderId="0" applyFont="0" applyFill="0" applyBorder="0" applyAlignment="0" applyProtection="0"/>
    <xf numFmtId="44" fontId="17" fillId="0" borderId="0" applyFont="0" applyFill="0" applyBorder="0" applyAlignment="0" applyProtection="0"/>
    <xf numFmtId="0" fontId="17" fillId="0" borderId="0"/>
  </cellStyleXfs>
  <cellXfs count="551">
    <xf numFmtId="0" fontId="0" fillId="0" borderId="0" xfId="0"/>
    <xf numFmtId="0" fontId="5" fillId="5" borderId="0" xfId="0" applyFont="1" applyFill="1"/>
    <xf numFmtId="0" fontId="6" fillId="0" borderId="0" xfId="0" applyFont="1"/>
    <xf numFmtId="0" fontId="6" fillId="0" borderId="0" xfId="0" applyFont="1" applyAlignment="1">
      <alignment horizontal="center"/>
    </xf>
    <xf numFmtId="0" fontId="7" fillId="6" borderId="0" xfId="0" applyFont="1" applyFill="1"/>
    <xf numFmtId="0" fontId="7" fillId="6" borderId="0" xfId="0" applyFont="1" applyFill="1" applyAlignment="1">
      <alignment horizontal="center"/>
    </xf>
    <xf numFmtId="0" fontId="8" fillId="0" borderId="0" xfId="0" applyFont="1"/>
    <xf numFmtId="10" fontId="8" fillId="0" borderId="0" xfId="0" applyNumberFormat="1" applyFont="1" applyAlignment="1">
      <alignment horizontal="center"/>
    </xf>
    <xf numFmtId="0" fontId="8" fillId="0" borderId="18" xfId="0" applyFont="1" applyBorder="1"/>
    <xf numFmtId="10" fontId="8" fillId="0" borderId="18" xfId="0" applyNumberFormat="1" applyFont="1" applyBorder="1" applyAlignment="1">
      <alignment horizontal="center"/>
    </xf>
    <xf numFmtId="0" fontId="8" fillId="0" borderId="20" xfId="0" applyFont="1" applyBorder="1"/>
    <xf numFmtId="10" fontId="8" fillId="0" borderId="20" xfId="0" applyNumberFormat="1" applyFont="1" applyBorder="1" applyAlignment="1">
      <alignment horizontal="center"/>
    </xf>
    <xf numFmtId="10" fontId="6" fillId="0" borderId="0" xfId="0" applyNumberFormat="1" applyFont="1" applyAlignment="1">
      <alignment horizontal="center"/>
    </xf>
    <xf numFmtId="168" fontId="6" fillId="0" borderId="0" xfId="0" applyNumberFormat="1" applyFont="1" applyAlignment="1">
      <alignment horizontal="right"/>
    </xf>
    <xf numFmtId="0" fontId="7" fillId="6" borderId="0" xfId="0" applyFont="1" applyFill="1" applyAlignment="1">
      <alignment horizontal="left"/>
    </xf>
    <xf numFmtId="0" fontId="10" fillId="6" borderId="0" xfId="0" applyFont="1" applyFill="1"/>
    <xf numFmtId="0" fontId="8" fillId="0" borderId="21" xfId="0" applyFont="1" applyBorder="1"/>
    <xf numFmtId="17" fontId="8" fillId="0" borderId="21" xfId="0" applyNumberFormat="1" applyFont="1" applyBorder="1" applyAlignment="1">
      <alignment horizontal="centerContinuous"/>
    </xf>
    <xf numFmtId="0" fontId="8" fillId="0" borderId="22" xfId="0" applyFont="1" applyBorder="1"/>
    <xf numFmtId="170" fontId="8" fillId="0" borderId="22" xfId="0" applyNumberFormat="1" applyFont="1" applyBorder="1" applyAlignment="1">
      <alignment horizontal="centerContinuous"/>
    </xf>
    <xf numFmtId="171" fontId="8" fillId="0" borderId="21" xfId="0" applyNumberFormat="1" applyFont="1" applyBorder="1" applyAlignment="1">
      <alignment horizontal="centerContinuous"/>
    </xf>
    <xf numFmtId="0" fontId="8" fillId="0" borderId="21" xfId="0" applyFont="1" applyBorder="1" applyAlignment="1">
      <alignment horizontal="centerContinuous"/>
    </xf>
    <xf numFmtId="0" fontId="8" fillId="0" borderId="22" xfId="0" applyFont="1" applyBorder="1" applyAlignment="1">
      <alignment horizontal="centerContinuous"/>
    </xf>
    <xf numFmtId="0" fontId="8" fillId="0" borderId="25" xfId="0" applyFont="1" applyBorder="1"/>
    <xf numFmtId="8" fontId="8" fillId="0" borderId="25" xfId="0" applyNumberFormat="1" applyFont="1" applyBorder="1" applyAlignment="1">
      <alignment horizontal="centerContinuous"/>
    </xf>
    <xf numFmtId="8" fontId="8" fillId="0" borderId="21" xfId="0" applyNumberFormat="1" applyFont="1" applyBorder="1"/>
    <xf numFmtId="0" fontId="8" fillId="0" borderId="26" xfId="0" applyFont="1" applyBorder="1"/>
    <xf numFmtId="8" fontId="8" fillId="0" borderId="26" xfId="0" applyNumberFormat="1" applyFont="1" applyBorder="1"/>
    <xf numFmtId="0" fontId="8" fillId="0" borderId="27" xfId="0" applyFont="1" applyBorder="1"/>
    <xf numFmtId="8" fontId="8" fillId="0" borderId="27" xfId="0" applyNumberFormat="1" applyFont="1" applyBorder="1"/>
    <xf numFmtId="6" fontId="8" fillId="0" borderId="27" xfId="0" applyNumberFormat="1" applyFont="1" applyBorder="1"/>
    <xf numFmtId="8" fontId="7" fillId="6" borderId="0" xfId="0" applyNumberFormat="1" applyFont="1" applyFill="1"/>
    <xf numFmtId="6" fontId="7" fillId="6" borderId="0" xfId="0" applyNumberFormat="1" applyFont="1" applyFill="1"/>
    <xf numFmtId="0" fontId="7" fillId="5" borderId="0" xfId="0" applyFont="1" applyFill="1" applyAlignment="1">
      <alignment horizontal="left"/>
    </xf>
    <xf numFmtId="0" fontId="11" fillId="0" borderId="0" xfId="0" applyFont="1" applyAlignment="1">
      <alignment horizontal="left"/>
    </xf>
    <xf numFmtId="0" fontId="13" fillId="0" borderId="0" xfId="0" applyFont="1" applyAlignment="1">
      <alignment horizontal="center"/>
    </xf>
    <xf numFmtId="0" fontId="14" fillId="0" borderId="0" xfId="0" applyFont="1"/>
    <xf numFmtId="0" fontId="3" fillId="0" borderId="0" xfId="0" applyFont="1"/>
    <xf numFmtId="10" fontId="0" fillId="7" borderId="31" xfId="3" applyNumberFormat="1" applyFont="1" applyFill="1" applyBorder="1"/>
    <xf numFmtId="171" fontId="0" fillId="7" borderId="32" xfId="3" applyNumberFormat="1" applyFont="1" applyFill="1" applyBorder="1"/>
    <xf numFmtId="10" fontId="0" fillId="0" borderId="32" xfId="3" applyNumberFormat="1" applyFont="1" applyBorder="1"/>
    <xf numFmtId="171" fontId="0" fillId="0" borderId="33" xfId="3" applyNumberFormat="1" applyFont="1" applyBorder="1"/>
    <xf numFmtId="9" fontId="0" fillId="2" borderId="6" xfId="3" applyFont="1" applyFill="1" applyBorder="1" applyAlignment="1">
      <alignment horizontal="center"/>
    </xf>
    <xf numFmtId="3" fontId="15" fillId="0" borderId="0" xfId="0" applyNumberFormat="1" applyFont="1" applyAlignment="1">
      <alignment horizontal="center"/>
    </xf>
    <xf numFmtId="15" fontId="3" fillId="0" borderId="0" xfId="0" applyNumberFormat="1" applyFont="1"/>
    <xf numFmtId="3" fontId="3" fillId="8" borderId="34" xfId="0" applyNumberFormat="1" applyFont="1" applyFill="1" applyBorder="1"/>
    <xf numFmtId="164" fontId="0" fillId="0" borderId="0" xfId="2" applyNumberFormat="1" applyFont="1" applyBorder="1"/>
    <xf numFmtId="10" fontId="3" fillId="0" borderId="12" xfId="3" applyNumberFormat="1" applyFont="1" applyBorder="1"/>
    <xf numFmtId="9" fontId="0" fillId="0" borderId="0" xfId="3" applyFont="1"/>
    <xf numFmtId="3" fontId="3" fillId="0" borderId="0" xfId="0" applyNumberFormat="1" applyFont="1"/>
    <xf numFmtId="3" fontId="15" fillId="0" borderId="0" xfId="0" applyNumberFormat="1" applyFont="1" applyAlignment="1">
      <alignment horizontal="right"/>
    </xf>
    <xf numFmtId="9" fontId="3" fillId="0" borderId="0" xfId="0" applyNumberFormat="1" applyFont="1"/>
    <xf numFmtId="0" fontId="3" fillId="0" borderId="0" xfId="0" applyFont="1" applyAlignment="1">
      <alignment horizontal="right"/>
    </xf>
    <xf numFmtId="4" fontId="2" fillId="0" borderId="0" xfId="0" applyNumberFormat="1" applyFont="1"/>
    <xf numFmtId="15" fontId="3" fillId="0" borderId="0" xfId="0" applyNumberFormat="1" applyFont="1" applyAlignment="1">
      <alignment horizontal="right"/>
    </xf>
    <xf numFmtId="0" fontId="16" fillId="0" borderId="0" xfId="0" applyFont="1"/>
    <xf numFmtId="171" fontId="16" fillId="0" borderId="0" xfId="0" applyNumberFormat="1" applyFont="1"/>
    <xf numFmtId="173" fontId="16" fillId="0" borderId="0" xfId="3" applyNumberFormat="1" applyFont="1"/>
    <xf numFmtId="3" fontId="16" fillId="0" borderId="0" xfId="0" applyNumberFormat="1" applyFont="1" applyAlignment="1">
      <alignment horizontal="right"/>
    </xf>
    <xf numFmtId="171" fontId="15" fillId="0" borderId="0" xfId="0" applyNumberFormat="1" applyFont="1"/>
    <xf numFmtId="10" fontId="15" fillId="0" borderId="0" xfId="0" applyNumberFormat="1" applyFont="1"/>
    <xf numFmtId="0" fontId="15" fillId="0" borderId="0" xfId="0" applyFont="1"/>
    <xf numFmtId="8" fontId="9" fillId="0" borderId="40" xfId="0" applyNumberFormat="1" applyFont="1" applyBorder="1" applyAlignment="1">
      <alignment horizontal="center" vertical="center"/>
    </xf>
    <xf numFmtId="0" fontId="9" fillId="0" borderId="38" xfId="0" applyFont="1" applyBorder="1" applyAlignment="1">
      <alignment horizontal="center" vertical="center"/>
    </xf>
    <xf numFmtId="10" fontId="9" fillId="0" borderId="40" xfId="0" applyNumberFormat="1" applyFont="1" applyBorder="1" applyAlignment="1">
      <alignment horizontal="center" vertical="center"/>
    </xf>
    <xf numFmtId="0" fontId="9" fillId="0" borderId="37" xfId="0" applyFont="1" applyBorder="1" applyAlignment="1">
      <alignment horizontal="center" vertical="center"/>
    </xf>
    <xf numFmtId="42" fontId="3" fillId="0" borderId="35" xfId="0" applyNumberFormat="1" applyFont="1" applyBorder="1" applyAlignment="1">
      <alignment horizontal="center"/>
    </xf>
    <xf numFmtId="42" fontId="3" fillId="0" borderId="35" xfId="0" applyNumberFormat="1" applyFont="1" applyBorder="1"/>
    <xf numFmtId="42" fontId="3" fillId="0" borderId="0" xfId="0" applyNumberFormat="1" applyFont="1" applyAlignment="1">
      <alignment horizontal="center"/>
    </xf>
    <xf numFmtId="42" fontId="3" fillId="0" borderId="0" xfId="0" applyNumberFormat="1" applyFont="1"/>
    <xf numFmtId="42" fontId="3" fillId="0" borderId="36" xfId="0" applyNumberFormat="1" applyFont="1" applyBorder="1" applyAlignment="1">
      <alignment horizontal="center"/>
    </xf>
    <xf numFmtId="42" fontId="3" fillId="0" borderId="36" xfId="0" applyNumberFormat="1" applyFont="1" applyBorder="1"/>
    <xf numFmtId="42" fontId="3" fillId="0" borderId="8" xfId="0" applyNumberFormat="1" applyFont="1" applyBorder="1" applyAlignment="1">
      <alignment horizontal="center"/>
    </xf>
    <xf numFmtId="42" fontId="3" fillId="0" borderId="8" xfId="0" applyNumberFormat="1" applyFont="1" applyBorder="1"/>
    <xf numFmtId="15" fontId="18" fillId="0" borderId="11" xfId="0" applyNumberFormat="1" applyFont="1" applyBorder="1"/>
    <xf numFmtId="171" fontId="18" fillId="7" borderId="6" xfId="0" applyNumberFormat="1" applyFont="1" applyFill="1" applyBorder="1" applyAlignment="1">
      <alignment horizontal="center"/>
    </xf>
    <xf numFmtId="9" fontId="18" fillId="7" borderId="6" xfId="0" applyNumberFormat="1" applyFont="1" applyFill="1" applyBorder="1" applyAlignment="1">
      <alignment horizontal="center"/>
    </xf>
    <xf numFmtId="0" fontId="6" fillId="0" borderId="4" xfId="0" applyFont="1" applyBorder="1" applyAlignment="1">
      <alignment horizontal="center"/>
    </xf>
    <xf numFmtId="9" fontId="18" fillId="0" borderId="8" xfId="0" applyNumberFormat="1" applyFont="1" applyBorder="1" applyAlignment="1">
      <alignment horizontal="center"/>
    </xf>
    <xf numFmtId="171" fontId="18" fillId="0" borderId="8" xfId="0" applyNumberFormat="1" applyFont="1" applyBorder="1" applyAlignment="1">
      <alignment horizontal="center"/>
    </xf>
    <xf numFmtId="171" fontId="18" fillId="0" borderId="9" xfId="0" applyNumberFormat="1" applyFont="1" applyBorder="1" applyAlignment="1">
      <alignment horizontal="center"/>
    </xf>
    <xf numFmtId="178" fontId="21" fillId="0" borderId="5" xfId="0" applyNumberFormat="1" applyFont="1" applyBorder="1" applyAlignment="1">
      <alignment horizontal="right"/>
    </xf>
    <xf numFmtId="181" fontId="2" fillId="5" borderId="47" xfId="0" applyNumberFormat="1" applyFont="1" applyFill="1" applyBorder="1" applyAlignment="1">
      <alignment horizontal="centerContinuous"/>
    </xf>
    <xf numFmtId="0" fontId="6" fillId="0" borderId="4" xfId="0" applyFont="1" applyBorder="1" applyAlignment="1">
      <alignment horizontal="center" wrapText="1"/>
    </xf>
    <xf numFmtId="0" fontId="24" fillId="11" borderId="0" xfId="0" applyFont="1" applyFill="1"/>
    <xf numFmtId="0" fontId="24" fillId="11" borderId="8" xfId="0" applyFont="1" applyFill="1" applyBorder="1"/>
    <xf numFmtId="0" fontId="24" fillId="11" borderId="5" xfId="0" applyFont="1" applyFill="1" applyBorder="1"/>
    <xf numFmtId="0" fontId="20" fillId="4" borderId="5" xfId="0" applyFont="1" applyFill="1" applyBorder="1"/>
    <xf numFmtId="0" fontId="20" fillId="4" borderId="0" xfId="0" applyFont="1" applyFill="1"/>
    <xf numFmtId="0" fontId="3" fillId="10" borderId="42" xfId="0" applyFont="1" applyFill="1" applyBorder="1"/>
    <xf numFmtId="0" fontId="25" fillId="0" borderId="0" xfId="0" applyFont="1"/>
    <xf numFmtId="175" fontId="25" fillId="0" borderId="0" xfId="0" applyNumberFormat="1" applyFont="1" applyAlignment="1">
      <alignment horizontal="left"/>
    </xf>
    <xf numFmtId="176" fontId="3" fillId="0" borderId="69" xfId="0" applyNumberFormat="1" applyFont="1" applyBorder="1"/>
    <xf numFmtId="176" fontId="3" fillId="0" borderId="67" xfId="0" applyNumberFormat="1" applyFont="1" applyBorder="1"/>
    <xf numFmtId="176" fontId="3" fillId="0" borderId="70" xfId="0" applyNumberFormat="1" applyFont="1" applyBorder="1"/>
    <xf numFmtId="176" fontId="3" fillId="0" borderId="71" xfId="0" applyNumberFormat="1" applyFont="1" applyBorder="1"/>
    <xf numFmtId="176" fontId="3" fillId="0" borderId="67" xfId="0" applyNumberFormat="1" applyFont="1" applyBorder="1" applyAlignment="1">
      <alignment horizontal="center"/>
    </xf>
    <xf numFmtId="176" fontId="22" fillId="0" borderId="67" xfId="0" applyNumberFormat="1" applyFont="1" applyBorder="1" applyAlignment="1">
      <alignment horizontal="center"/>
    </xf>
    <xf numFmtId="0" fontId="3" fillId="0" borderId="16" xfId="0" applyFont="1" applyBorder="1" applyAlignment="1">
      <alignment horizontal="right"/>
    </xf>
    <xf numFmtId="176" fontId="3" fillId="0" borderId="68" xfId="0" applyNumberFormat="1" applyFont="1" applyBorder="1" applyAlignment="1">
      <alignment horizontal="center"/>
    </xf>
    <xf numFmtId="6" fontId="0" fillId="0" borderId="5" xfId="5" applyNumberFormat="1" applyFont="1" applyBorder="1"/>
    <xf numFmtId="0" fontId="7" fillId="6" borderId="38" xfId="0" applyFont="1" applyFill="1" applyBorder="1" applyAlignment="1">
      <alignment horizontal="center" vertical="top"/>
    </xf>
    <xf numFmtId="6" fontId="18" fillId="0" borderId="8" xfId="0" applyNumberFormat="1" applyFont="1" applyBorder="1" applyAlignment="1">
      <alignment horizontal="center"/>
    </xf>
    <xf numFmtId="0" fontId="20" fillId="0" borderId="4" xfId="0" applyFont="1" applyBorder="1" applyAlignment="1">
      <alignment horizontal="right" wrapText="1"/>
    </xf>
    <xf numFmtId="0" fontId="20" fillId="0" borderId="7" xfId="0" applyFont="1" applyBorder="1" applyAlignment="1">
      <alignment horizontal="right"/>
    </xf>
    <xf numFmtId="184" fontId="23" fillId="0" borderId="0" xfId="0" applyNumberFormat="1" applyFont="1"/>
    <xf numFmtId="184" fontId="23" fillId="14" borderId="0" xfId="0" applyNumberFormat="1" applyFont="1" applyFill="1"/>
    <xf numFmtId="6" fontId="3" fillId="14" borderId="5" xfId="5" applyNumberFormat="1" applyFont="1" applyFill="1" applyBorder="1"/>
    <xf numFmtId="10" fontId="3" fillId="14" borderId="5" xfId="0" applyNumberFormat="1" applyFont="1" applyFill="1" applyBorder="1" applyAlignment="1">
      <alignment horizontal="right"/>
    </xf>
    <xf numFmtId="180" fontId="3" fillId="14" borderId="9" xfId="0" applyNumberFormat="1" applyFont="1" applyFill="1" applyBorder="1"/>
    <xf numFmtId="0" fontId="3" fillId="14" borderId="4" xfId="0" applyFont="1" applyFill="1" applyBorder="1" applyAlignment="1">
      <alignment horizontal="right"/>
    </xf>
    <xf numFmtId="0" fontId="3" fillId="14" borderId="7" xfId="0" applyFont="1" applyFill="1" applyBorder="1" applyAlignment="1">
      <alignment horizontal="right"/>
    </xf>
    <xf numFmtId="3" fontId="21" fillId="0" borderId="8" xfId="5" applyNumberFormat="1" applyFont="1" applyBorder="1" applyAlignment="1">
      <alignment horizontal="right"/>
    </xf>
    <xf numFmtId="0" fontId="3" fillId="0" borderId="51" xfId="0" applyFont="1" applyBorder="1" applyAlignment="1">
      <alignment horizontal="centerContinuous"/>
    </xf>
    <xf numFmtId="0" fontId="3" fillId="0" borderId="72" xfId="0" applyFont="1" applyBorder="1"/>
    <xf numFmtId="10" fontId="3" fillId="10" borderId="8" xfId="3" applyNumberFormat="1" applyFont="1" applyFill="1" applyBorder="1" applyAlignment="1">
      <alignment horizontal="right"/>
    </xf>
    <xf numFmtId="10" fontId="15" fillId="10" borderId="58" xfId="5" applyNumberFormat="1" applyFont="1" applyFill="1" applyBorder="1" applyAlignment="1">
      <alignment horizontal="right"/>
    </xf>
    <xf numFmtId="0" fontId="26" fillId="15" borderId="51" xfId="6" applyFont="1" applyFill="1" applyBorder="1" applyAlignment="1">
      <alignment horizontal="left"/>
    </xf>
    <xf numFmtId="0" fontId="26" fillId="15" borderId="53" xfId="6" applyFont="1" applyFill="1" applyBorder="1" applyAlignment="1">
      <alignment horizontal="right"/>
    </xf>
    <xf numFmtId="187" fontId="27" fillId="2" borderId="5" xfId="8" applyNumberFormat="1" applyFont="1" applyFill="1" applyBorder="1"/>
    <xf numFmtId="0" fontId="18" fillId="10" borderId="7" xfId="6" applyFont="1" applyFill="1" applyBorder="1" applyAlignment="1">
      <alignment horizontal="left"/>
    </xf>
    <xf numFmtId="187" fontId="28" fillId="10" borderId="9" xfId="8" applyNumberFormat="1" applyFont="1" applyFill="1" applyBorder="1"/>
    <xf numFmtId="0" fontId="18" fillId="10" borderId="55" xfId="6" applyFont="1" applyFill="1" applyBorder="1" applyAlignment="1">
      <alignment horizontal="left"/>
    </xf>
    <xf numFmtId="187" fontId="28" fillId="10" borderId="57" xfId="8" applyNumberFormat="1" applyFont="1" applyFill="1" applyBorder="1"/>
    <xf numFmtId="10" fontId="21" fillId="0" borderId="73" xfId="0" applyNumberFormat="1" applyFont="1" applyBorder="1" applyAlignment="1">
      <alignment horizontal="right"/>
    </xf>
    <xf numFmtId="178" fontId="0" fillId="0" borderId="5" xfId="5" applyNumberFormat="1" applyFont="1" applyFill="1" applyBorder="1" applyAlignment="1">
      <alignment horizontal="right"/>
    </xf>
    <xf numFmtId="0" fontId="22" fillId="0" borderId="5" xfId="0" applyFont="1" applyBorder="1" applyAlignment="1">
      <alignment horizontal="right"/>
    </xf>
    <xf numFmtId="186" fontId="3" fillId="0" borderId="52" xfId="0" applyNumberFormat="1" applyFont="1" applyBorder="1"/>
    <xf numFmtId="0" fontId="3" fillId="0" borderId="52" xfId="0" applyFont="1" applyBorder="1"/>
    <xf numFmtId="14" fontId="3" fillId="0" borderId="53" xfId="0" applyNumberFormat="1" applyFont="1" applyBorder="1" applyAlignment="1">
      <alignment horizontal="right"/>
    </xf>
    <xf numFmtId="2" fontId="2" fillId="9" borderId="0" xfId="0" applyNumberFormat="1" applyFont="1" applyFill="1" applyAlignment="1">
      <alignment horizontal="centerContinuous"/>
    </xf>
    <xf numFmtId="0" fontId="3" fillId="0" borderId="74" xfId="0" applyFont="1" applyBorder="1"/>
    <xf numFmtId="9" fontId="18" fillId="7" borderId="79" xfId="0" applyNumberFormat="1" applyFont="1" applyFill="1" applyBorder="1" applyAlignment="1">
      <alignment horizontal="center"/>
    </xf>
    <xf numFmtId="10" fontId="29" fillId="2" borderId="0" xfId="0" applyNumberFormat="1" applyFont="1" applyFill="1" applyAlignment="1">
      <alignment horizontal="right"/>
    </xf>
    <xf numFmtId="188" fontId="3" fillId="0" borderId="0" xfId="0" applyNumberFormat="1" applyFont="1" applyAlignment="1">
      <alignment horizontal="center"/>
    </xf>
    <xf numFmtId="3" fontId="3" fillId="2" borderId="0" xfId="0" applyNumberFormat="1" applyFont="1" applyFill="1" applyAlignment="1">
      <alignment horizontal="right"/>
    </xf>
    <xf numFmtId="3" fontId="19" fillId="15" borderId="0" xfId="0" applyNumberFormat="1" applyFont="1" applyFill="1" applyAlignment="1">
      <alignment horizontal="right"/>
    </xf>
    <xf numFmtId="9" fontId="21" fillId="0" borderId="0" xfId="0" applyNumberFormat="1" applyFont="1" applyAlignment="1">
      <alignment horizontal="center"/>
    </xf>
    <xf numFmtId="0" fontId="21" fillId="0" borderId="0" xfId="0" applyFont="1"/>
    <xf numFmtId="10" fontId="3" fillId="10" borderId="9" xfId="3" applyNumberFormat="1" applyFont="1" applyFill="1" applyBorder="1" applyAlignment="1">
      <alignment horizontal="right"/>
    </xf>
    <xf numFmtId="10" fontId="15" fillId="10" borderId="73" xfId="5" applyNumberFormat="1" applyFont="1" applyFill="1" applyBorder="1" applyAlignment="1">
      <alignment horizontal="right"/>
    </xf>
    <xf numFmtId="2" fontId="2" fillId="6" borderId="51" xfId="0" applyNumberFormat="1" applyFont="1" applyFill="1" applyBorder="1" applyAlignment="1">
      <alignment horizontal="centerContinuous"/>
    </xf>
    <xf numFmtId="2" fontId="29" fillId="6" borderId="52" xfId="0" applyNumberFormat="1" applyFont="1" applyFill="1" applyBorder="1" applyAlignment="1">
      <alignment horizontal="centerContinuous"/>
    </xf>
    <xf numFmtId="2" fontId="29" fillId="6" borderId="53" xfId="0" applyNumberFormat="1" applyFont="1" applyFill="1" applyBorder="1" applyAlignment="1">
      <alignment horizontal="centerContinuous"/>
    </xf>
    <xf numFmtId="9" fontId="18" fillId="0" borderId="72" xfId="0" applyNumberFormat="1" applyFont="1" applyBorder="1" applyAlignment="1">
      <alignment horizontal="center"/>
    </xf>
    <xf numFmtId="9" fontId="18" fillId="0" borderId="85" xfId="0" applyNumberFormat="1" applyFont="1" applyBorder="1" applyAlignment="1">
      <alignment horizontal="center"/>
    </xf>
    <xf numFmtId="9" fontId="18" fillId="0" borderId="73" xfId="0" applyNumberFormat="1" applyFont="1" applyBorder="1" applyAlignment="1">
      <alignment horizontal="center"/>
    </xf>
    <xf numFmtId="9" fontId="18" fillId="0" borderId="74" xfId="0" applyNumberFormat="1" applyFont="1" applyBorder="1" applyAlignment="1">
      <alignment horizontal="center"/>
    </xf>
    <xf numFmtId="9" fontId="18" fillId="0" borderId="86" xfId="0" applyNumberFormat="1" applyFont="1" applyBorder="1" applyAlignment="1">
      <alignment horizontal="center"/>
    </xf>
    <xf numFmtId="9" fontId="18" fillId="0" borderId="75" xfId="0" applyNumberFormat="1" applyFont="1" applyBorder="1" applyAlignment="1">
      <alignment horizontal="center"/>
    </xf>
    <xf numFmtId="9" fontId="18" fillId="7" borderId="1" xfId="0" applyNumberFormat="1" applyFont="1" applyFill="1" applyBorder="1" applyAlignment="1">
      <alignment horizontal="center"/>
    </xf>
    <xf numFmtId="9" fontId="18" fillId="7" borderId="77" xfId="0" applyNumberFormat="1" applyFont="1" applyFill="1" applyBorder="1" applyAlignment="1">
      <alignment horizontal="center"/>
    </xf>
    <xf numFmtId="9" fontId="18" fillId="7" borderId="3" xfId="0" applyNumberFormat="1" applyFont="1" applyFill="1" applyBorder="1" applyAlignment="1">
      <alignment horizontal="center"/>
    </xf>
    <xf numFmtId="9" fontId="18" fillId="7" borderId="78" xfId="0" applyNumberFormat="1" applyFont="1" applyFill="1" applyBorder="1" applyAlignment="1">
      <alignment horizontal="center"/>
    </xf>
    <xf numFmtId="9" fontId="18" fillId="7" borderId="80" xfId="0" applyNumberFormat="1" applyFont="1" applyFill="1" applyBorder="1" applyAlignment="1">
      <alignment horizontal="center"/>
    </xf>
    <xf numFmtId="9" fontId="18" fillId="7" borderId="7" xfId="0" applyNumberFormat="1" applyFont="1" applyFill="1" applyBorder="1" applyAlignment="1">
      <alignment horizontal="center"/>
    </xf>
    <xf numFmtId="9" fontId="18" fillId="7" borderId="71" xfId="0" applyNumberFormat="1" applyFont="1" applyFill="1" applyBorder="1" applyAlignment="1">
      <alignment horizontal="center"/>
    </xf>
    <xf numFmtId="9" fontId="18" fillId="7" borderId="9" xfId="0" applyNumberFormat="1" applyFont="1" applyFill="1" applyBorder="1" applyAlignment="1">
      <alignment horizontal="center"/>
    </xf>
    <xf numFmtId="189" fontId="2" fillId="5" borderId="7" xfId="0" applyNumberFormat="1" applyFont="1" applyFill="1" applyBorder="1" applyAlignment="1">
      <alignment horizontal="center"/>
    </xf>
    <xf numFmtId="189" fontId="2" fillId="5" borderId="9" xfId="0" applyNumberFormat="1" applyFont="1" applyFill="1" applyBorder="1" applyAlignment="1">
      <alignment horizontal="center"/>
    </xf>
    <xf numFmtId="189" fontId="2" fillId="5" borderId="87" xfId="0" applyNumberFormat="1" applyFont="1" applyFill="1" applyBorder="1" applyAlignment="1">
      <alignment horizontal="center"/>
    </xf>
    <xf numFmtId="0" fontId="3" fillId="0" borderId="7" xfId="0" applyFont="1" applyBorder="1"/>
    <xf numFmtId="0" fontId="3" fillId="0" borderId="8" xfId="0" applyFont="1" applyBorder="1"/>
    <xf numFmtId="184" fontId="3" fillId="0" borderId="8" xfId="0" applyNumberFormat="1" applyFont="1" applyBorder="1"/>
    <xf numFmtId="3" fontId="18" fillId="0" borderId="9" xfId="5" applyNumberFormat="1" applyFont="1" applyFill="1" applyBorder="1" applyAlignment="1">
      <alignment horizontal="right"/>
    </xf>
    <xf numFmtId="0" fontId="15" fillId="0" borderId="0" xfId="0" applyFont="1" applyAlignment="1">
      <alignment horizontal="right"/>
    </xf>
    <xf numFmtId="0" fontId="26" fillId="15" borderId="52" xfId="6" applyFont="1" applyFill="1" applyBorder="1" applyAlignment="1">
      <alignment horizontal="center"/>
    </xf>
    <xf numFmtId="171" fontId="27" fillId="2" borderId="0" xfId="7" applyNumberFormat="1" applyFont="1" applyFill="1" applyBorder="1" applyAlignment="1">
      <alignment horizontal="center"/>
    </xf>
    <xf numFmtId="171" fontId="27" fillId="2" borderId="16" xfId="7" applyNumberFormat="1" applyFont="1" applyFill="1" applyBorder="1" applyAlignment="1">
      <alignment horizontal="center"/>
    </xf>
    <xf numFmtId="171" fontId="28" fillId="10" borderId="56" xfId="7" applyNumberFormat="1" applyFont="1" applyFill="1" applyBorder="1" applyAlignment="1">
      <alignment horizontal="center"/>
    </xf>
    <xf numFmtId="171" fontId="18" fillId="10" borderId="8" xfId="7" applyNumberFormat="1" applyFont="1" applyFill="1" applyBorder="1" applyAlignment="1">
      <alignment horizontal="center"/>
    </xf>
    <xf numFmtId="0" fontId="23" fillId="0" borderId="0" xfId="0" applyFont="1"/>
    <xf numFmtId="0" fontId="30" fillId="5" borderId="0" xfId="0" applyFont="1" applyFill="1"/>
    <xf numFmtId="0" fontId="0" fillId="0" borderId="50" xfId="0" applyBorder="1"/>
    <xf numFmtId="0" fontId="0" fillId="0" borderId="49" xfId="0" applyBorder="1"/>
    <xf numFmtId="0" fontId="0" fillId="0" borderId="43" xfId="0" applyBorder="1"/>
    <xf numFmtId="0" fontId="0" fillId="12" borderId="0" xfId="0" applyFill="1"/>
    <xf numFmtId="0" fontId="0" fillId="4" borderId="0" xfId="0" applyFill="1"/>
    <xf numFmtId="0" fontId="0" fillId="4" borderId="8" xfId="0" applyFill="1" applyBorder="1"/>
    <xf numFmtId="0" fontId="31" fillId="0" borderId="0" xfId="0" applyFont="1" applyAlignment="1">
      <alignment horizontal="left" vertical="center" wrapText="1" shrinkToFit="1" readingOrder="1"/>
    </xf>
    <xf numFmtId="0" fontId="0" fillId="0" borderId="6" xfId="0"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0" fillId="0" borderId="6" xfId="0" applyBorder="1"/>
    <xf numFmtId="172" fontId="0" fillId="7" borderId="32" xfId="0" applyNumberFormat="1" applyFill="1" applyBorder="1"/>
    <xf numFmtId="3" fontId="0" fillId="7" borderId="32" xfId="0" applyNumberFormat="1" applyFill="1" applyBorder="1"/>
    <xf numFmtId="172" fontId="0" fillId="0" borderId="32" xfId="0" applyNumberFormat="1" applyBorder="1"/>
    <xf numFmtId="3" fontId="0" fillId="0" borderId="32" xfId="0" applyNumberFormat="1" applyBorder="1"/>
    <xf numFmtId="171" fontId="0" fillId="2" borderId="6" xfId="0" applyNumberFormat="1" applyFill="1" applyBorder="1" applyAlignment="1">
      <alignment horizontal="center"/>
    </xf>
    <xf numFmtId="15" fontId="0" fillId="0" borderId="0" xfId="0" applyNumberFormat="1"/>
    <xf numFmtId="15" fontId="0" fillId="0" borderId="6" xfId="0" applyNumberFormat="1" applyBorder="1"/>
    <xf numFmtId="15" fontId="0" fillId="0" borderId="11" xfId="0" applyNumberFormat="1" applyBorder="1"/>
    <xf numFmtId="3" fontId="0" fillId="0" borderId="0" xfId="0" applyNumberFormat="1"/>
    <xf numFmtId="164" fontId="0" fillId="0" borderId="0" xfId="0" applyNumberFormat="1"/>
    <xf numFmtId="15" fontId="0" fillId="0" borderId="10" xfId="0" applyNumberFormat="1" applyBorder="1"/>
    <xf numFmtId="173" fontId="0" fillId="0" borderId="0" xfId="0" applyNumberFormat="1"/>
    <xf numFmtId="10" fontId="0" fillId="0" borderId="0" xfId="0" applyNumberFormat="1"/>
    <xf numFmtId="0" fontId="0" fillId="0" borderId="0" xfId="0" applyAlignment="1">
      <alignment horizontal="right"/>
    </xf>
    <xf numFmtId="3" fontId="0" fillId="0" borderId="0" xfId="0" applyNumberFormat="1" applyAlignment="1">
      <alignment horizontal="right"/>
    </xf>
    <xf numFmtId="171" fontId="0" fillId="0" borderId="0" xfId="0" applyNumberFormat="1"/>
    <xf numFmtId="0" fontId="32" fillId="0" borderId="0" xfId="1" applyFont="1"/>
    <xf numFmtId="0" fontId="33" fillId="2" borderId="1" xfId="1" applyFont="1" applyFill="1" applyBorder="1" applyAlignment="1">
      <alignment horizontal="centerContinuous"/>
    </xf>
    <xf numFmtId="0" fontId="32" fillId="2" borderId="2" xfId="1" applyFont="1" applyFill="1" applyBorder="1" applyAlignment="1">
      <alignment horizontal="centerContinuous"/>
    </xf>
    <xf numFmtId="0" fontId="32" fillId="2" borderId="3" xfId="1" applyFont="1" applyFill="1" applyBorder="1" applyAlignment="1">
      <alignment horizontal="centerContinuous"/>
    </xf>
    <xf numFmtId="0" fontId="32" fillId="2" borderId="4" xfId="1" applyFont="1" applyFill="1" applyBorder="1"/>
    <xf numFmtId="0" fontId="32" fillId="2" borderId="0" xfId="1" applyFont="1" applyFill="1"/>
    <xf numFmtId="164" fontId="34" fillId="2" borderId="5" xfId="2" applyNumberFormat="1" applyFont="1" applyFill="1" applyBorder="1"/>
    <xf numFmtId="10" fontId="34" fillId="2" borderId="5" xfId="1" applyNumberFormat="1" applyFont="1" applyFill="1" applyBorder="1"/>
    <xf numFmtId="0" fontId="34" fillId="2" borderId="5" xfId="1" applyFont="1" applyFill="1" applyBorder="1"/>
    <xf numFmtId="164" fontId="34" fillId="2" borderId="5" xfId="2" applyNumberFormat="1" applyFont="1" applyFill="1" applyBorder="1" applyAlignment="1">
      <alignment horizontal="left" indent="2"/>
    </xf>
    <xf numFmtId="164" fontId="32" fillId="0" borderId="0" xfId="1" applyNumberFormat="1" applyFont="1"/>
    <xf numFmtId="0" fontId="32" fillId="2" borderId="7" xfId="1" applyFont="1" applyFill="1" applyBorder="1"/>
    <xf numFmtId="0" fontId="32" fillId="2" borderId="8" xfId="1" applyFont="1" applyFill="1" applyBorder="1"/>
    <xf numFmtId="164" fontId="32" fillId="2" borderId="9" xfId="2" applyNumberFormat="1" applyFont="1" applyFill="1" applyBorder="1"/>
    <xf numFmtId="9" fontId="32" fillId="0" borderId="0" xfId="3" applyFont="1"/>
    <xf numFmtId="164" fontId="32" fillId="0" borderId="0" xfId="2" applyNumberFormat="1" applyFont="1"/>
    <xf numFmtId="0" fontId="35" fillId="2" borderId="0" xfId="1" applyFont="1" applyFill="1"/>
    <xf numFmtId="165" fontId="32" fillId="0" borderId="0" xfId="1" applyNumberFormat="1" applyFont="1"/>
    <xf numFmtId="8" fontId="32" fillId="0" borderId="0" xfId="1" applyNumberFormat="1" applyFont="1"/>
    <xf numFmtId="0" fontId="33" fillId="0" borderId="0" xfId="1" applyFont="1"/>
    <xf numFmtId="0" fontId="33" fillId="2" borderId="0" xfId="1" applyFont="1" applyFill="1"/>
    <xf numFmtId="0" fontId="36" fillId="0" borderId="0" xfId="1" applyFont="1"/>
    <xf numFmtId="0" fontId="33" fillId="3" borderId="10" xfId="1" applyFont="1" applyFill="1" applyBorder="1" applyAlignment="1">
      <alignment horizontal="center" vertical="center" wrapText="1"/>
    </xf>
    <xf numFmtId="0" fontId="33" fillId="3" borderId="11" xfId="1" applyFont="1" applyFill="1" applyBorder="1" applyAlignment="1">
      <alignment horizontal="center" vertical="center" wrapText="1"/>
    </xf>
    <xf numFmtId="9" fontId="33" fillId="3" borderId="12" xfId="5" applyFont="1" applyFill="1" applyBorder="1" applyAlignment="1">
      <alignment horizontal="center" vertical="center" wrapText="1"/>
    </xf>
    <xf numFmtId="0" fontId="33" fillId="3" borderId="12" xfId="1" applyFont="1" applyFill="1" applyBorder="1" applyAlignment="1">
      <alignment horizontal="center" vertical="center" wrapText="1"/>
    </xf>
    <xf numFmtId="0" fontId="32" fillId="4" borderId="13" xfId="1" applyFont="1" applyFill="1" applyBorder="1" applyAlignment="1">
      <alignment horizontal="center"/>
    </xf>
    <xf numFmtId="166" fontId="32" fillId="4" borderId="0" xfId="1" applyNumberFormat="1" applyFont="1" applyFill="1"/>
    <xf numFmtId="167" fontId="32" fillId="4" borderId="0" xfId="1" applyNumberFormat="1" applyFont="1" applyFill="1"/>
    <xf numFmtId="3" fontId="32" fillId="4" borderId="14" xfId="5" applyNumberFormat="1" applyFont="1" applyFill="1" applyBorder="1"/>
    <xf numFmtId="166" fontId="32" fillId="4" borderId="13" xfId="1" applyNumberFormat="1" applyFont="1" applyFill="1" applyBorder="1"/>
    <xf numFmtId="167" fontId="32" fillId="4" borderId="14" xfId="1" applyNumberFormat="1" applyFont="1" applyFill="1" applyBorder="1"/>
    <xf numFmtId="0" fontId="32" fillId="2" borderId="13" xfId="1" applyFont="1" applyFill="1" applyBorder="1" applyAlignment="1">
      <alignment horizontal="center"/>
    </xf>
    <xf numFmtId="0" fontId="32" fillId="2" borderId="0" xfId="2" applyNumberFormat="1" applyFont="1" applyFill="1" applyBorder="1" applyAlignment="1">
      <alignment horizontal="center"/>
    </xf>
    <xf numFmtId="167" fontId="32" fillId="2" borderId="0" xfId="1" applyNumberFormat="1" applyFont="1" applyFill="1"/>
    <xf numFmtId="3" fontId="32" fillId="2" borderId="14" xfId="5" applyNumberFormat="1" applyFont="1" applyFill="1" applyBorder="1"/>
    <xf numFmtId="0" fontId="32" fillId="2" borderId="13" xfId="2" applyNumberFormat="1" applyFont="1" applyFill="1" applyBorder="1" applyAlignment="1">
      <alignment horizontal="center"/>
    </xf>
    <xf numFmtId="167" fontId="32" fillId="2" borderId="0" xfId="2" applyNumberFormat="1" applyFont="1" applyFill="1" applyBorder="1"/>
    <xf numFmtId="167" fontId="32" fillId="2" borderId="14" xfId="2" applyNumberFormat="1" applyFont="1" applyFill="1" applyBorder="1"/>
    <xf numFmtId="167" fontId="32" fillId="0" borderId="0" xfId="1" applyNumberFormat="1" applyFont="1"/>
    <xf numFmtId="0" fontId="32" fillId="2" borderId="15" xfId="2" applyNumberFormat="1" applyFont="1" applyFill="1" applyBorder="1" applyAlignment="1">
      <alignment horizontal="center"/>
    </xf>
    <xf numFmtId="167" fontId="32" fillId="2" borderId="16" xfId="1" applyNumberFormat="1" applyFont="1" applyFill="1" applyBorder="1"/>
    <xf numFmtId="167" fontId="32" fillId="2" borderId="16" xfId="2" applyNumberFormat="1" applyFont="1" applyFill="1" applyBorder="1"/>
    <xf numFmtId="167" fontId="32" fillId="2" borderId="17" xfId="2" applyNumberFormat="1" applyFont="1" applyFill="1" applyBorder="1"/>
    <xf numFmtId="0" fontId="32" fillId="2" borderId="15" xfId="1" applyFont="1" applyFill="1" applyBorder="1" applyAlignment="1">
      <alignment horizontal="center"/>
    </xf>
    <xf numFmtId="0" fontId="32" fillId="2" borderId="16" xfId="2" applyNumberFormat="1" applyFont="1" applyFill="1" applyBorder="1" applyAlignment="1">
      <alignment horizontal="center"/>
    </xf>
    <xf numFmtId="3" fontId="32" fillId="2" borderId="17" xfId="5" applyNumberFormat="1" applyFont="1" applyFill="1" applyBorder="1"/>
    <xf numFmtId="177" fontId="2" fillId="5" borderId="11" xfId="4" applyNumberFormat="1" applyFont="1" applyFill="1" applyBorder="1" applyAlignment="1">
      <alignment horizontal="right"/>
    </xf>
    <xf numFmtId="174" fontId="2" fillId="5" borderId="11" xfId="4" applyNumberFormat="1" applyFont="1" applyFill="1" applyBorder="1"/>
    <xf numFmtId="0" fontId="0" fillId="10" borderId="0" xfId="0" applyFill="1"/>
    <xf numFmtId="0" fontId="0" fillId="10" borderId="65" xfId="0" applyFill="1" applyBorder="1"/>
    <xf numFmtId="0" fontId="0" fillId="10" borderId="67" xfId="0" applyFill="1" applyBorder="1"/>
    <xf numFmtId="14" fontId="23" fillId="10" borderId="0" xfId="4" applyNumberFormat="1" applyFont="1" applyFill="1" applyAlignment="1">
      <alignment horizontal="right"/>
    </xf>
    <xf numFmtId="0" fontId="0" fillId="0" borderId="16" xfId="0" applyBorder="1"/>
    <xf numFmtId="0" fontId="0" fillId="0" borderId="66" xfId="0" applyBorder="1"/>
    <xf numFmtId="0" fontId="0" fillId="0" borderId="68" xfId="0" applyBorder="1"/>
    <xf numFmtId="0" fontId="0" fillId="0" borderId="67" xfId="0" applyBorder="1"/>
    <xf numFmtId="3" fontId="0" fillId="0" borderId="16" xfId="0" applyNumberFormat="1" applyBorder="1"/>
    <xf numFmtId="41" fontId="0" fillId="0" borderId="0" xfId="0" applyNumberFormat="1" applyAlignment="1">
      <alignment horizontal="center"/>
    </xf>
    <xf numFmtId="176" fontId="0" fillId="0" borderId="67" xfId="0" applyNumberFormat="1" applyBorder="1"/>
    <xf numFmtId="42" fontId="0" fillId="0" borderId="0" xfId="0" applyNumberFormat="1" applyAlignment="1">
      <alignment horizontal="center" vertical="top"/>
    </xf>
    <xf numFmtId="42" fontId="0" fillId="0" borderId="0" xfId="0" applyNumberFormat="1"/>
    <xf numFmtId="42" fontId="0" fillId="0" borderId="0" xfId="0" applyNumberFormat="1" applyAlignment="1">
      <alignment horizontal="center"/>
    </xf>
    <xf numFmtId="176" fontId="0" fillId="0" borderId="68" xfId="0" applyNumberFormat="1" applyBorder="1"/>
    <xf numFmtId="42" fontId="0" fillId="0" borderId="16" xfId="0" applyNumberFormat="1" applyBorder="1" applyAlignment="1">
      <alignment horizontal="center"/>
    </xf>
    <xf numFmtId="42" fontId="0" fillId="0" borderId="16" xfId="0" applyNumberFormat="1" applyBorder="1"/>
    <xf numFmtId="176" fontId="0" fillId="0" borderId="71" xfId="0" applyNumberFormat="1" applyBorder="1"/>
    <xf numFmtId="42" fontId="0" fillId="0" borderId="8" xfId="0" applyNumberFormat="1" applyBorder="1" applyAlignment="1">
      <alignment horizontal="center"/>
    </xf>
    <xf numFmtId="42" fontId="0" fillId="0" borderId="8" xfId="0" applyNumberFormat="1" applyBorder="1"/>
    <xf numFmtId="176" fontId="0" fillId="0" borderId="0" xfId="0" applyNumberFormat="1"/>
    <xf numFmtId="0" fontId="0" fillId="0" borderId="52" xfId="0" applyBorder="1" applyAlignment="1">
      <alignment horizontal="centerContinuous"/>
    </xf>
    <xf numFmtId="176" fontId="0" fillId="0" borderId="53" xfId="0" applyNumberFormat="1" applyBorder="1" applyAlignment="1">
      <alignment horizontal="centerContinuous"/>
    </xf>
    <xf numFmtId="0" fontId="0" fillId="0" borderId="4" xfId="0" applyBorder="1"/>
    <xf numFmtId="3" fontId="0" fillId="0" borderId="5" xfId="0" applyNumberFormat="1" applyBorder="1"/>
    <xf numFmtId="0" fontId="0" fillId="0" borderId="54" xfId="0" applyBorder="1"/>
    <xf numFmtId="183" fontId="0" fillId="0" borderId="48" xfId="0" applyNumberFormat="1" applyBorder="1"/>
    <xf numFmtId="10" fontId="0" fillId="0" borderId="5" xfId="0" applyNumberFormat="1" applyBorder="1"/>
    <xf numFmtId="0" fontId="0" fillId="0" borderId="7" xfId="0" applyBorder="1"/>
    <xf numFmtId="0" fontId="0" fillId="0" borderId="8" xfId="0" applyBorder="1"/>
    <xf numFmtId="183" fontId="0" fillId="0" borderId="9" xfId="0" applyNumberFormat="1" applyBorder="1"/>
    <xf numFmtId="8" fontId="0" fillId="0" borderId="0" xfId="0" applyNumberFormat="1" applyAlignment="1">
      <alignment horizontal="right"/>
    </xf>
    <xf numFmtId="0" fontId="0" fillId="0" borderId="35" xfId="0" applyBorder="1" applyAlignment="1">
      <alignment horizontal="center" wrapText="1"/>
    </xf>
    <xf numFmtId="0" fontId="0" fillId="0" borderId="0" xfId="0" applyAlignment="1">
      <alignment horizontal="center" wrapText="1"/>
    </xf>
    <xf numFmtId="6" fontId="0" fillId="0" borderId="0" xfId="0" applyNumberFormat="1" applyAlignment="1">
      <alignment horizontal="center"/>
    </xf>
    <xf numFmtId="0" fontId="37" fillId="5" borderId="38" xfId="0" applyFont="1" applyFill="1" applyBorder="1" applyAlignment="1">
      <alignment horizontal="center" vertical="center"/>
    </xf>
    <xf numFmtId="0" fontId="38" fillId="6" borderId="0" xfId="0" applyFont="1" applyFill="1" applyAlignment="1">
      <alignment vertical="center"/>
    </xf>
    <xf numFmtId="0" fontId="8" fillId="6" borderId="0" xfId="0" applyFont="1" applyFill="1" applyAlignment="1">
      <alignment vertical="top"/>
    </xf>
    <xf numFmtId="169" fontId="8" fillId="0" borderId="19" xfId="0" applyNumberFormat="1" applyFont="1" applyBorder="1" applyAlignment="1">
      <alignment horizontal="left" vertical="center"/>
    </xf>
    <xf numFmtId="8" fontId="8" fillId="0" borderId="39" xfId="0" applyNumberFormat="1" applyFont="1" applyBorder="1" applyAlignment="1">
      <alignment horizontal="center" vertical="center"/>
    </xf>
    <xf numFmtId="169" fontId="8" fillId="0" borderId="23" xfId="0" applyNumberFormat="1" applyFont="1" applyBorder="1" applyAlignment="1">
      <alignment horizontal="left" vertical="center"/>
    </xf>
    <xf numFmtId="8" fontId="8" fillId="0" borderId="40" xfId="0" applyNumberFormat="1" applyFont="1" applyBorder="1" applyAlignment="1">
      <alignment horizontal="center" vertical="center"/>
    </xf>
    <xf numFmtId="0" fontId="8" fillId="6" borderId="38" xfId="0" applyFont="1" applyFill="1" applyBorder="1" applyAlignment="1">
      <alignment vertical="top"/>
    </xf>
    <xf numFmtId="0" fontId="8" fillId="0" borderId="24" xfId="0" applyFont="1" applyBorder="1" applyAlignment="1">
      <alignment vertical="center"/>
    </xf>
    <xf numFmtId="0" fontId="8" fillId="0" borderId="24" xfId="0" applyFont="1" applyBorder="1" applyAlignment="1">
      <alignment vertical="top"/>
    </xf>
    <xf numFmtId="0" fontId="8" fillId="0" borderId="23" xfId="0" applyFont="1" applyBorder="1" applyAlignment="1">
      <alignment vertical="center"/>
    </xf>
    <xf numFmtId="0" fontId="8" fillId="0" borderId="23" xfId="0" applyFont="1" applyBorder="1" applyAlignment="1">
      <alignment vertical="top"/>
    </xf>
    <xf numFmtId="0" fontId="8" fillId="0" borderId="0" xfId="0" applyFont="1" applyAlignment="1">
      <alignment vertical="center"/>
    </xf>
    <xf numFmtId="0" fontId="8" fillId="0" borderId="0" xfId="0" applyFont="1" applyAlignment="1">
      <alignment vertical="top"/>
    </xf>
    <xf numFmtId="0" fontId="8" fillId="0" borderId="38" xfId="0" applyFont="1" applyBorder="1" applyAlignment="1">
      <alignment horizontal="center" vertical="center"/>
    </xf>
    <xf numFmtId="10" fontId="8" fillId="0" borderId="40" xfId="0" applyNumberFormat="1" applyFont="1" applyBorder="1" applyAlignment="1">
      <alignment horizontal="center" vertical="center"/>
    </xf>
    <xf numFmtId="0" fontId="8" fillId="0" borderId="19" xfId="0" applyFont="1" applyBorder="1" applyAlignment="1">
      <alignment vertical="center"/>
    </xf>
    <xf numFmtId="0" fontId="8" fillId="0" borderId="19" xfId="0" applyFont="1" applyBorder="1" applyAlignment="1">
      <alignment vertical="top"/>
    </xf>
    <xf numFmtId="0" fontId="8" fillId="0" borderId="37" xfId="0" applyFont="1" applyBorder="1" applyAlignment="1">
      <alignment horizontal="center" vertical="center"/>
    </xf>
    <xf numFmtId="8" fontId="0" fillId="0" borderId="0" xfId="0" applyNumberFormat="1"/>
    <xf numFmtId="181" fontId="0" fillId="5" borderId="45" xfId="0" applyNumberFormat="1" applyFill="1" applyBorder="1" applyAlignment="1">
      <alignment horizontal="centerContinuous"/>
    </xf>
    <xf numFmtId="181" fontId="0" fillId="5" borderId="46" xfId="0" applyNumberFormat="1" applyFill="1" applyBorder="1" applyAlignment="1">
      <alignment horizontal="centerContinuous"/>
    </xf>
    <xf numFmtId="0" fontId="0" fillId="0" borderId="1" xfId="0" applyBorder="1"/>
    <xf numFmtId="0" fontId="0" fillId="0" borderId="51" xfId="0" applyBorder="1"/>
    <xf numFmtId="0" fontId="0" fillId="0" borderId="4" xfId="0" applyBorder="1" applyAlignment="1">
      <alignment horizontal="right"/>
    </xf>
    <xf numFmtId="0" fontId="0" fillId="0" borderId="74" xfId="0" applyBorder="1"/>
    <xf numFmtId="10" fontId="0" fillId="0" borderId="5" xfId="0" applyNumberFormat="1" applyBorder="1" applyAlignment="1">
      <alignment horizontal="right"/>
    </xf>
    <xf numFmtId="178" fontId="0" fillId="0" borderId="5" xfId="0" applyNumberFormat="1" applyBorder="1" applyAlignment="1">
      <alignment horizontal="right"/>
    </xf>
    <xf numFmtId="0" fontId="0" fillId="0" borderId="54" xfId="0" applyBorder="1" applyAlignment="1">
      <alignment horizontal="right"/>
    </xf>
    <xf numFmtId="180" fontId="0" fillId="0" borderId="48" xfId="0" applyNumberFormat="1" applyBorder="1"/>
    <xf numFmtId="185" fontId="0" fillId="0" borderId="59" xfId="0" applyNumberFormat="1" applyBorder="1"/>
    <xf numFmtId="184" fontId="0" fillId="0" borderId="16" xfId="0" applyNumberFormat="1" applyBorder="1"/>
    <xf numFmtId="178" fontId="0" fillId="0" borderId="48" xfId="0" applyNumberFormat="1" applyBorder="1" applyAlignment="1">
      <alignment horizontal="right"/>
    </xf>
    <xf numFmtId="0" fontId="0" fillId="14" borderId="0" xfId="0" applyFill="1"/>
    <xf numFmtId="0" fontId="0" fillId="0" borderId="72" xfId="0" applyBorder="1"/>
    <xf numFmtId="14" fontId="0" fillId="0" borderId="5" xfId="0" applyNumberFormat="1" applyBorder="1"/>
    <xf numFmtId="14" fontId="0" fillId="0" borderId="0" xfId="0" applyNumberFormat="1"/>
    <xf numFmtId="0" fontId="0" fillId="14" borderId="8" xfId="0" applyFill="1" applyBorder="1"/>
    <xf numFmtId="6" fontId="0" fillId="0" borderId="9" xfId="0" applyNumberFormat="1" applyBorder="1"/>
    <xf numFmtId="178" fontId="0" fillId="0" borderId="44" xfId="0" applyNumberFormat="1" applyBorder="1" applyAlignment="1">
      <alignment horizontal="right"/>
    </xf>
    <xf numFmtId="0" fontId="0" fillId="0" borderId="7" xfId="0" applyBorder="1" applyAlignment="1">
      <alignment horizontal="right"/>
    </xf>
    <xf numFmtId="180" fontId="0" fillId="0" borderId="9" xfId="0" applyNumberFormat="1" applyBorder="1"/>
    <xf numFmtId="0" fontId="2" fillId="5" borderId="51" xfId="4" applyFont="1" applyFill="1" applyBorder="1" applyAlignment="1">
      <alignment horizontal="left"/>
    </xf>
    <xf numFmtId="177" fontId="2" fillId="5" borderId="52" xfId="4" applyNumberFormat="1" applyFont="1" applyFill="1" applyBorder="1" applyAlignment="1">
      <alignment horizontal="right"/>
    </xf>
    <xf numFmtId="174" fontId="2" fillId="5" borderId="52" xfId="4" applyNumberFormat="1" applyFont="1" applyFill="1" applyBorder="1"/>
    <xf numFmtId="174" fontId="2" fillId="5" borderId="53" xfId="4" applyNumberFormat="1" applyFont="1" applyFill="1" applyBorder="1"/>
    <xf numFmtId="0" fontId="23" fillId="10" borderId="4" xfId="4" applyFont="1" applyFill="1" applyBorder="1" applyAlignment="1">
      <alignment horizontal="right"/>
    </xf>
    <xf numFmtId="14" fontId="23" fillId="10" borderId="5" xfId="4" applyNumberFormat="1" applyFont="1" applyFill="1" applyBorder="1" applyAlignment="1">
      <alignment horizontal="right"/>
    </xf>
    <xf numFmtId="0" fontId="23" fillId="10" borderId="7" xfId="4" applyFont="1" applyFill="1" applyBorder="1" applyAlignment="1">
      <alignment horizontal="right"/>
    </xf>
    <xf numFmtId="10" fontId="0" fillId="10" borderId="8" xfId="4" applyNumberFormat="1" applyFont="1" applyFill="1" applyBorder="1" applyAlignment="1">
      <alignment horizontal="right"/>
    </xf>
    <xf numFmtId="0" fontId="0" fillId="2" borderId="4" xfId="9" applyFont="1" applyFill="1" applyBorder="1"/>
    <xf numFmtId="164" fontId="0" fillId="2" borderId="5" xfId="9" applyNumberFormat="1" applyFont="1" applyFill="1" applyBorder="1" applyAlignment="1">
      <alignment horizontal="right"/>
    </xf>
    <xf numFmtId="0" fontId="2" fillId="5" borderId="4" xfId="9" applyFont="1" applyFill="1" applyBorder="1"/>
    <xf numFmtId="164" fontId="2" fillId="5" borderId="5" xfId="9" applyNumberFormat="1" applyFont="1" applyFill="1" applyBorder="1" applyAlignment="1">
      <alignment horizontal="right"/>
    </xf>
    <xf numFmtId="0" fontId="15" fillId="10" borderId="4" xfId="9" applyFont="1" applyFill="1" applyBorder="1" applyAlignment="1">
      <alignment horizontal="left" indent="1"/>
    </xf>
    <xf numFmtId="10" fontId="15" fillId="10" borderId="5" xfId="9" applyNumberFormat="1" applyFont="1" applyFill="1" applyBorder="1" applyAlignment="1">
      <alignment horizontal="right"/>
    </xf>
    <xf numFmtId="0" fontId="15" fillId="0" borderId="4" xfId="9" applyFont="1" applyBorder="1" applyAlignment="1">
      <alignment horizontal="left" indent="1"/>
    </xf>
    <xf numFmtId="10" fontId="15" fillId="0" borderId="5" xfId="9" applyNumberFormat="1" applyFont="1" applyBorder="1" applyAlignment="1">
      <alignment horizontal="right"/>
    </xf>
    <xf numFmtId="0" fontId="0" fillId="2" borderId="54" xfId="9" applyFont="1" applyFill="1" applyBorder="1"/>
    <xf numFmtId="164" fontId="0" fillId="2" borderId="16" xfId="9" applyNumberFormat="1" applyFont="1" applyFill="1" applyBorder="1" applyAlignment="1">
      <alignment horizontal="right"/>
    </xf>
    <xf numFmtId="164" fontId="0" fillId="2" borderId="48" xfId="9" applyNumberFormat="1" applyFont="1" applyFill="1" applyBorder="1" applyAlignment="1">
      <alignment horizontal="right"/>
    </xf>
    <xf numFmtId="0" fontId="3" fillId="2" borderId="4" xfId="9" applyFont="1" applyFill="1" applyBorder="1"/>
    <xf numFmtId="164" fontId="3" fillId="2" borderId="5" xfId="9" applyNumberFormat="1" applyFont="1" applyFill="1" applyBorder="1" applyAlignment="1">
      <alignment horizontal="right"/>
    </xf>
    <xf numFmtId="10" fontId="15" fillId="10" borderId="72" xfId="5" applyNumberFormat="1" applyFont="1" applyFill="1" applyBorder="1" applyAlignment="1">
      <alignment horizontal="left" indent="1"/>
    </xf>
    <xf numFmtId="10" fontId="3" fillId="2" borderId="4" xfId="9" applyNumberFormat="1" applyFont="1" applyFill="1" applyBorder="1"/>
    <xf numFmtId="37" fontId="0" fillId="0" borderId="0" xfId="0" applyNumberFormat="1"/>
    <xf numFmtId="0" fontId="3" fillId="2" borderId="83" xfId="9" applyFont="1" applyFill="1" applyBorder="1"/>
    <xf numFmtId="164" fontId="3" fillId="2" borderId="76" xfId="9" applyNumberFormat="1" applyFont="1" applyFill="1" applyBorder="1" applyAlignment="1">
      <alignment horizontal="right"/>
    </xf>
    <xf numFmtId="164" fontId="3" fillId="2" borderId="84" xfId="9" applyNumberFormat="1" applyFont="1" applyFill="1" applyBorder="1" applyAlignment="1">
      <alignment horizontal="right"/>
    </xf>
    <xf numFmtId="0" fontId="15" fillId="10" borderId="4" xfId="4" applyFont="1" applyFill="1" applyBorder="1" applyAlignment="1">
      <alignment horizontal="left" indent="1"/>
    </xf>
    <xf numFmtId="0" fontId="0" fillId="2" borderId="4" xfId="4" applyFont="1" applyFill="1" applyBorder="1"/>
    <xf numFmtId="188" fontId="0" fillId="0" borderId="0" xfId="0" applyNumberFormat="1"/>
    <xf numFmtId="0" fontId="0" fillId="2" borderId="54" xfId="4" applyFont="1" applyFill="1" applyBorder="1"/>
    <xf numFmtId="187" fontId="0" fillId="2" borderId="48" xfId="4" applyNumberFormat="1" applyFont="1" applyFill="1" applyBorder="1"/>
    <xf numFmtId="0" fontId="0" fillId="0" borderId="4" xfId="4" applyFont="1" applyBorder="1"/>
    <xf numFmtId="187" fontId="3" fillId="2" borderId="5" xfId="4" applyNumberFormat="1" applyFont="1" applyFill="1" applyBorder="1"/>
    <xf numFmtId="0" fontId="0" fillId="0" borderId="0" xfId="0" applyAlignment="1">
      <alignment horizontal="centerContinuous"/>
    </xf>
    <xf numFmtId="171" fontId="0" fillId="2" borderId="0" xfId="4" applyNumberFormat="1" applyFont="1" applyFill="1" applyAlignment="1">
      <alignment horizontal="center"/>
    </xf>
    <xf numFmtId="0" fontId="0" fillId="0" borderId="74" xfId="4" applyFont="1" applyBorder="1"/>
    <xf numFmtId="171" fontId="0" fillId="2" borderId="59" xfId="4" applyNumberFormat="1" applyFont="1" applyFill="1" applyBorder="1" applyAlignment="1">
      <alignment horizontal="center"/>
    </xf>
    <xf numFmtId="187" fontId="3" fillId="2" borderId="75" xfId="4" applyNumberFormat="1" applyFont="1" applyFill="1" applyBorder="1"/>
    <xf numFmtId="10" fontId="0" fillId="0" borderId="9" xfId="0" applyNumberFormat="1" applyBorder="1"/>
    <xf numFmtId="3" fontId="0" fillId="0" borderId="3" xfId="0" applyNumberFormat="1" applyBorder="1"/>
    <xf numFmtId="3" fontId="3" fillId="7" borderId="49" xfId="0" applyNumberFormat="1" applyFont="1" applyFill="1" applyBorder="1" applyAlignment="1">
      <alignment horizontal="right"/>
    </xf>
    <xf numFmtId="3" fontId="3" fillId="2" borderId="81" xfId="0" applyNumberFormat="1" applyFont="1" applyFill="1" applyBorder="1" applyAlignment="1">
      <alignment horizontal="right"/>
    </xf>
    <xf numFmtId="3" fontId="3" fillId="2" borderId="82" xfId="0" applyNumberFormat="1" applyFont="1" applyFill="1" applyBorder="1" applyAlignment="1">
      <alignment horizontal="right"/>
    </xf>
    <xf numFmtId="3" fontId="3" fillId="7" borderId="43" xfId="0" applyNumberFormat="1" applyFont="1" applyFill="1" applyBorder="1" applyAlignment="1">
      <alignment horizontal="right"/>
    </xf>
    <xf numFmtId="9" fontId="19" fillId="7" borderId="0" xfId="0" applyNumberFormat="1" applyFont="1" applyFill="1" applyAlignment="1">
      <alignment horizontal="center"/>
    </xf>
    <xf numFmtId="171" fontId="19" fillId="7" borderId="0" xfId="0" applyNumberFormat="1" applyFont="1" applyFill="1" applyAlignment="1">
      <alignment horizontal="center"/>
    </xf>
    <xf numFmtId="171" fontId="19" fillId="7" borderId="5" xfId="0" applyNumberFormat="1" applyFont="1" applyFill="1" applyBorder="1" applyAlignment="1">
      <alignment horizontal="center"/>
    </xf>
    <xf numFmtId="3" fontId="19" fillId="7" borderId="0" xfId="0" applyNumberFormat="1" applyFont="1" applyFill="1" applyAlignment="1">
      <alignment horizontal="left"/>
    </xf>
    <xf numFmtId="0" fontId="19" fillId="7" borderId="3" xfId="0" applyFont="1" applyFill="1" applyBorder="1" applyAlignment="1">
      <alignment horizontal="right"/>
    </xf>
    <xf numFmtId="0" fontId="19" fillId="7" borderId="75" xfId="0" applyFont="1" applyFill="1" applyBorder="1" applyAlignment="1">
      <alignment horizontal="right"/>
    </xf>
    <xf numFmtId="10" fontId="19" fillId="7" borderId="73" xfId="0" applyNumberFormat="1" applyFont="1" applyFill="1" applyBorder="1"/>
    <xf numFmtId="188" fontId="19" fillId="7" borderId="75" xfId="0" applyNumberFormat="1" applyFont="1" applyFill="1" applyBorder="1"/>
    <xf numFmtId="14" fontId="19" fillId="7" borderId="75" xfId="0" applyNumberFormat="1" applyFont="1" applyFill="1" applyBorder="1"/>
    <xf numFmtId="0" fontId="19" fillId="7" borderId="2" xfId="0" applyFont="1" applyFill="1" applyBorder="1" applyAlignment="1">
      <alignment horizontal="right"/>
    </xf>
    <xf numFmtId="182" fontId="19" fillId="7" borderId="59" xfId="0" applyNumberFormat="1" applyFont="1" applyFill="1" applyBorder="1" applyAlignment="1">
      <alignment horizontal="right"/>
    </xf>
    <xf numFmtId="3" fontId="19" fillId="7" borderId="0" xfId="0" applyNumberFormat="1" applyFont="1" applyFill="1"/>
    <xf numFmtId="171" fontId="19" fillId="7" borderId="3" xfId="0" applyNumberFormat="1" applyFont="1" applyFill="1" applyBorder="1"/>
    <xf numFmtId="10" fontId="19" fillId="7" borderId="5" xfId="0" applyNumberFormat="1" applyFont="1" applyFill="1" applyBorder="1"/>
    <xf numFmtId="10" fontId="40" fillId="7" borderId="5" xfId="0" applyNumberFormat="1" applyFont="1" applyFill="1" applyBorder="1"/>
    <xf numFmtId="170" fontId="19" fillId="7" borderId="5" xfId="0" applyNumberFormat="1" applyFont="1" applyFill="1" applyBorder="1"/>
    <xf numFmtId="170" fontId="19" fillId="7" borderId="9" xfId="0" applyNumberFormat="1" applyFont="1" applyFill="1" applyBorder="1"/>
    <xf numFmtId="0" fontId="22" fillId="0" borderId="0" xfId="0" applyFont="1" applyAlignment="1">
      <alignment horizontal="right"/>
    </xf>
    <xf numFmtId="184" fontId="0" fillId="0" borderId="0" xfId="0" applyNumberFormat="1"/>
    <xf numFmtId="10" fontId="20" fillId="0" borderId="0" xfId="0" applyNumberFormat="1" applyFont="1" applyAlignment="1">
      <alignment horizontal="right"/>
    </xf>
    <xf numFmtId="10" fontId="19" fillId="7" borderId="0" xfId="0" applyNumberFormat="1" applyFont="1" applyFill="1" applyAlignment="1">
      <alignment horizontal="right"/>
    </xf>
    <xf numFmtId="0" fontId="3" fillId="0" borderId="35" xfId="0" applyFont="1" applyBorder="1" applyAlignment="1">
      <alignment horizontal="center" vertical="center" wrapText="1"/>
    </xf>
    <xf numFmtId="0" fontId="3" fillId="0" borderId="0" xfId="0" applyFont="1" applyAlignment="1">
      <alignment horizontal="center" vertical="center" wrapText="1"/>
    </xf>
    <xf numFmtId="0" fontId="3" fillId="0" borderId="44" xfId="0" applyFont="1" applyBorder="1" applyAlignment="1">
      <alignment horizontal="center" vertical="center" wrapText="1"/>
    </xf>
    <xf numFmtId="0" fontId="3" fillId="0" borderId="5" xfId="0" applyFont="1" applyBorder="1" applyAlignment="1">
      <alignment horizontal="center" vertical="center" wrapText="1"/>
    </xf>
    <xf numFmtId="164" fontId="2" fillId="5" borderId="0" xfId="9" applyNumberFormat="1" applyFont="1" applyFill="1" applyAlignment="1">
      <alignment horizontal="right"/>
    </xf>
    <xf numFmtId="164" fontId="0" fillId="2" borderId="0" xfId="9" applyNumberFormat="1" applyFont="1" applyFill="1" applyAlignment="1">
      <alignment horizontal="right"/>
    </xf>
    <xf numFmtId="10" fontId="3" fillId="10" borderId="0" xfId="4" applyNumberFormat="1" applyFont="1" applyFill="1" applyAlignment="1">
      <alignment horizontal="right"/>
    </xf>
    <xf numFmtId="10" fontId="15" fillId="10" borderId="0" xfId="9" applyNumberFormat="1" applyFont="1" applyFill="1" applyAlignment="1">
      <alignment horizontal="right"/>
    </xf>
    <xf numFmtId="10" fontId="3" fillId="0" borderId="0" xfId="4" applyNumberFormat="1" applyFont="1" applyAlignment="1">
      <alignment horizontal="right"/>
    </xf>
    <xf numFmtId="10" fontId="15" fillId="0" borderId="0" xfId="9" applyNumberFormat="1" applyFont="1" applyAlignment="1">
      <alignment horizontal="right"/>
    </xf>
    <xf numFmtId="164" fontId="3" fillId="2" borderId="0" xfId="9" applyNumberFormat="1" applyFont="1" applyFill="1" applyAlignment="1">
      <alignment horizontal="right"/>
    </xf>
    <xf numFmtId="0" fontId="15" fillId="10" borderId="0" xfId="4" applyFont="1" applyFill="1" applyAlignment="1">
      <alignment horizontal="right"/>
    </xf>
    <xf numFmtId="0" fontId="41" fillId="0" borderId="0" xfId="0" applyFont="1"/>
    <xf numFmtId="0" fontId="41" fillId="10" borderId="7" xfId="9" applyFont="1" applyFill="1" applyBorder="1"/>
    <xf numFmtId="164" fontId="41" fillId="10" borderId="8" xfId="9" applyNumberFormat="1" applyFont="1" applyFill="1" applyBorder="1" applyAlignment="1">
      <alignment horizontal="right"/>
    </xf>
    <xf numFmtId="10" fontId="41" fillId="10" borderId="8" xfId="9" applyNumberFormat="1" applyFont="1" applyFill="1" applyBorder="1" applyAlignment="1">
      <alignment horizontal="right"/>
    </xf>
    <xf numFmtId="10" fontId="41" fillId="10" borderId="9" xfId="9" applyNumberFormat="1" applyFont="1" applyFill="1" applyBorder="1" applyAlignment="1">
      <alignment horizontal="right"/>
    </xf>
    <xf numFmtId="2" fontId="2" fillId="5" borderId="51" xfId="0" applyNumberFormat="1" applyFont="1" applyFill="1" applyBorder="1" applyAlignment="1">
      <alignment horizontal="centerContinuous"/>
    </xf>
    <xf numFmtId="2" fontId="2" fillId="5" borderId="52" xfId="0" applyNumberFormat="1" applyFont="1" applyFill="1" applyBorder="1" applyAlignment="1">
      <alignment horizontal="centerContinuous"/>
    </xf>
    <xf numFmtId="2" fontId="2" fillId="5" borderId="53" xfId="0" applyNumberFormat="1" applyFont="1" applyFill="1" applyBorder="1" applyAlignment="1">
      <alignment horizontal="centerContinuous"/>
    </xf>
    <xf numFmtId="0" fontId="2" fillId="5" borderId="47" xfId="0" applyFont="1" applyFill="1" applyBorder="1" applyAlignment="1">
      <alignment horizontal="centerContinuous"/>
    </xf>
    <xf numFmtId="0" fontId="2" fillId="5" borderId="45" xfId="0" applyFont="1" applyFill="1" applyBorder="1" applyAlignment="1">
      <alignment horizontal="centerContinuous"/>
    </xf>
    <xf numFmtId="0" fontId="2" fillId="5" borderId="46" xfId="0" applyFont="1" applyFill="1" applyBorder="1" applyAlignment="1">
      <alignment horizontal="centerContinuous"/>
    </xf>
    <xf numFmtId="0" fontId="2" fillId="6" borderId="88" xfId="0" applyFont="1" applyFill="1" applyBorder="1" applyAlignment="1">
      <alignment horizontal="center"/>
    </xf>
    <xf numFmtId="10" fontId="0" fillId="0" borderId="0" xfId="0" applyNumberFormat="1" applyAlignment="1">
      <alignment horizontal="center"/>
    </xf>
    <xf numFmtId="171" fontId="0" fillId="0" borderId="5" xfId="0" applyNumberFormat="1" applyBorder="1" applyAlignment="1">
      <alignment horizontal="right"/>
    </xf>
    <xf numFmtId="171" fontId="0" fillId="0" borderId="43" xfId="0" applyNumberFormat="1" applyBorder="1" applyAlignment="1">
      <alignment horizontal="center"/>
    </xf>
    <xf numFmtId="10" fontId="0" fillId="0" borderId="43" xfId="0" applyNumberFormat="1" applyBorder="1" applyAlignment="1">
      <alignment horizontal="center"/>
    </xf>
    <xf numFmtId="4" fontId="0" fillId="0" borderId="0" xfId="0" applyNumberFormat="1"/>
    <xf numFmtId="180" fontId="0" fillId="0" borderId="43" xfId="0" applyNumberFormat="1" applyBorder="1" applyAlignment="1">
      <alignment horizontal="center"/>
    </xf>
    <xf numFmtId="9" fontId="15" fillId="10" borderId="0" xfId="4" applyNumberFormat="1" applyFont="1" applyFill="1" applyAlignment="1">
      <alignment horizontal="right"/>
    </xf>
    <xf numFmtId="10" fontId="15" fillId="10" borderId="0" xfId="2" applyNumberFormat="1" applyFont="1" applyFill="1" applyBorder="1" applyAlignment="1">
      <alignment horizontal="right"/>
    </xf>
    <xf numFmtId="10" fontId="15" fillId="10" borderId="5" xfId="2" applyNumberFormat="1" applyFont="1" applyFill="1" applyBorder="1" applyAlignment="1">
      <alignment horizontal="right"/>
    </xf>
    <xf numFmtId="180" fontId="15" fillId="10" borderId="0" xfId="2" applyNumberFormat="1" applyFont="1" applyFill="1" applyBorder="1" applyAlignment="1">
      <alignment horizontal="right"/>
    </xf>
    <xf numFmtId="180" fontId="15" fillId="10" borderId="5" xfId="2" applyNumberFormat="1" applyFont="1" applyFill="1" applyBorder="1" applyAlignment="1">
      <alignment horizontal="right"/>
    </xf>
    <xf numFmtId="10" fontId="21" fillId="2" borderId="0" xfId="0" applyNumberFormat="1" applyFont="1" applyFill="1" applyAlignment="1">
      <alignment horizontal="right"/>
    </xf>
    <xf numFmtId="9" fontId="0" fillId="0" borderId="0" xfId="0" applyNumberFormat="1"/>
    <xf numFmtId="0" fontId="2" fillId="6" borderId="50" xfId="0" applyFont="1" applyFill="1" applyBorder="1" applyAlignment="1">
      <alignment horizontal="center" vertical="center"/>
    </xf>
    <xf numFmtId="0" fontId="2" fillId="6" borderId="43" xfId="0" applyFont="1" applyFill="1" applyBorder="1" applyAlignment="1">
      <alignment horizontal="center" vertical="center"/>
    </xf>
    <xf numFmtId="6" fontId="0" fillId="0" borderId="0" xfId="0" applyNumberFormat="1"/>
    <xf numFmtId="9" fontId="19" fillId="7" borderId="75" xfId="0" applyNumberFormat="1" applyFont="1" applyFill="1" applyBorder="1" applyAlignment="1">
      <alignment horizontal="right"/>
    </xf>
    <xf numFmtId="6" fontId="0" fillId="0" borderId="16" xfId="0" applyNumberFormat="1" applyBorder="1"/>
    <xf numFmtId="6" fontId="3" fillId="0" borderId="0" xfId="0" applyNumberFormat="1" applyFont="1"/>
    <xf numFmtId="3" fontId="18" fillId="0" borderId="0" xfId="0" applyNumberFormat="1" applyFont="1"/>
    <xf numFmtId="177" fontId="2" fillId="5" borderId="51" xfId="4" applyNumberFormat="1" applyFont="1" applyFill="1" applyBorder="1" applyAlignment="1">
      <alignment horizontal="right"/>
    </xf>
    <xf numFmtId="177" fontId="2" fillId="5" borderId="53" xfId="4" applyNumberFormat="1" applyFont="1" applyFill="1" applyBorder="1" applyAlignment="1">
      <alignment horizontal="right"/>
    </xf>
    <xf numFmtId="0" fontId="15" fillId="0" borderId="4" xfId="0" applyFont="1" applyBorder="1" applyAlignment="1">
      <alignment horizontal="right"/>
    </xf>
    <xf numFmtId="6" fontId="21" fillId="0" borderId="0" xfId="0" applyNumberFormat="1" applyFont="1" applyAlignment="1">
      <alignment horizontal="right"/>
    </xf>
    <xf numFmtId="6" fontId="21" fillId="0" borderId="0" xfId="0" applyNumberFormat="1" applyFont="1"/>
    <xf numFmtId="6" fontId="21" fillId="0" borderId="5" xfId="0" applyNumberFormat="1" applyFont="1" applyBorder="1"/>
    <xf numFmtId="6" fontId="0" fillId="0" borderId="48" xfId="0" applyNumberFormat="1" applyBorder="1"/>
    <xf numFmtId="0" fontId="3" fillId="0" borderId="7" xfId="0" applyFont="1" applyBorder="1" applyAlignment="1">
      <alignment horizontal="right"/>
    </xf>
    <xf numFmtId="6" fontId="3" fillId="0" borderId="8" xfId="0" applyNumberFormat="1" applyFont="1" applyBorder="1"/>
    <xf numFmtId="6" fontId="3" fillId="0" borderId="9" xfId="0" applyNumberFormat="1" applyFont="1" applyBorder="1"/>
    <xf numFmtId="0" fontId="43" fillId="0" borderId="0" xfId="0" applyFont="1"/>
    <xf numFmtId="0" fontId="43" fillId="0" borderId="0" xfId="0" applyFont="1" applyAlignment="1">
      <alignment horizontal="right"/>
    </xf>
    <xf numFmtId="3" fontId="43" fillId="0" borderId="0" xfId="0" applyNumberFormat="1" applyFont="1"/>
    <xf numFmtId="0" fontId="44" fillId="0" borderId="0" xfId="0" applyFont="1" applyAlignment="1">
      <alignment horizontal="centerContinuous"/>
    </xf>
    <xf numFmtId="3" fontId="19" fillId="7" borderId="2" xfId="0" applyNumberFormat="1" applyFont="1" applyFill="1" applyBorder="1" applyAlignment="1">
      <alignment horizontal="right"/>
    </xf>
    <xf numFmtId="171" fontId="19" fillId="7" borderId="58" xfId="0" applyNumberFormat="1" applyFont="1" applyFill="1" applyBorder="1"/>
    <xf numFmtId="3" fontId="18" fillId="0" borderId="8" xfId="0" applyNumberFormat="1" applyFont="1" applyBorder="1"/>
    <xf numFmtId="3" fontId="3" fillId="0" borderId="9" xfId="0" applyNumberFormat="1" applyFont="1" applyBorder="1"/>
    <xf numFmtId="10" fontId="18" fillId="2" borderId="59" xfId="0" applyNumberFormat="1" applyFont="1" applyFill="1" applyBorder="1" applyAlignment="1">
      <alignment horizontal="right"/>
    </xf>
    <xf numFmtId="188" fontId="18" fillId="0" borderId="3" xfId="0" applyNumberFormat="1" applyFont="1" applyBorder="1"/>
    <xf numFmtId="0" fontId="3" fillId="0" borderId="1" xfId="0" applyFont="1" applyBorder="1"/>
    <xf numFmtId="177" fontId="2" fillId="5" borderId="52" xfId="4" applyNumberFormat="1" applyFont="1" applyFill="1" applyBorder="1"/>
    <xf numFmtId="14" fontId="3" fillId="10" borderId="0" xfId="4" applyNumberFormat="1" applyFont="1" applyFill="1" applyAlignment="1">
      <alignment horizontal="right"/>
    </xf>
    <xf numFmtId="14" fontId="3" fillId="10" borderId="5" xfId="4" applyNumberFormat="1" applyFont="1" applyFill="1" applyBorder="1" applyAlignment="1">
      <alignment horizontal="right"/>
    </xf>
    <xf numFmtId="0" fontId="18" fillId="0" borderId="2" xfId="0" applyFont="1" applyBorder="1" applyAlignment="1">
      <alignment horizontal="right"/>
    </xf>
    <xf numFmtId="182" fontId="18" fillId="0" borderId="59" xfId="0" applyNumberFormat="1" applyFont="1" applyBorder="1" applyAlignment="1">
      <alignment horizontal="right"/>
    </xf>
    <xf numFmtId="14" fontId="18" fillId="0" borderId="75" xfId="0" applyNumberFormat="1" applyFont="1" applyBorder="1"/>
    <xf numFmtId="0" fontId="18" fillId="0" borderId="3" xfId="0" applyFont="1" applyBorder="1" applyAlignment="1">
      <alignment horizontal="right"/>
    </xf>
    <xf numFmtId="0" fontId="18" fillId="0" borderId="75" xfId="0" applyFont="1" applyBorder="1" applyAlignment="1">
      <alignment horizontal="right"/>
    </xf>
    <xf numFmtId="188" fontId="18" fillId="2" borderId="75" xfId="0" applyNumberFormat="1" applyFont="1" applyFill="1" applyBorder="1"/>
    <xf numFmtId="0" fontId="3" fillId="0" borderId="4" xfId="0" applyFont="1" applyBorder="1"/>
    <xf numFmtId="10" fontId="19" fillId="0" borderId="0" xfId="0" applyNumberFormat="1" applyFont="1" applyAlignment="1">
      <alignment horizontal="right"/>
    </xf>
    <xf numFmtId="184" fontId="3" fillId="0" borderId="0" xfId="0" applyNumberFormat="1" applyFont="1"/>
    <xf numFmtId="178" fontId="3" fillId="0" borderId="44" xfId="0" applyNumberFormat="1" applyFont="1" applyBorder="1" applyAlignment="1">
      <alignment horizontal="right"/>
    </xf>
    <xf numFmtId="10" fontId="19" fillId="7" borderId="0" xfId="0" applyNumberFormat="1" applyFont="1" applyFill="1"/>
    <xf numFmtId="179" fontId="0" fillId="0" borderId="0" xfId="0" applyNumberFormat="1"/>
    <xf numFmtId="178" fontId="18" fillId="0" borderId="9" xfId="0" applyNumberFormat="1" applyFont="1" applyBorder="1" applyAlignment="1">
      <alignment horizontal="right"/>
    </xf>
    <xf numFmtId="164" fontId="0" fillId="0" borderId="0" xfId="9" applyNumberFormat="1" applyFont="1" applyAlignment="1">
      <alignment horizontal="right"/>
    </xf>
    <xf numFmtId="164" fontId="0" fillId="0" borderId="5" xfId="9" applyNumberFormat="1" applyFont="1" applyBorder="1" applyAlignment="1">
      <alignment horizontal="right"/>
    </xf>
    <xf numFmtId="10" fontId="19" fillId="0" borderId="73" xfId="0" applyNumberFormat="1" applyFont="1" applyBorder="1"/>
    <xf numFmtId="187" fontId="3" fillId="0" borderId="75" xfId="4" applyNumberFormat="1" applyFont="1" applyBorder="1"/>
    <xf numFmtId="10" fontId="18" fillId="0" borderId="8" xfId="0" applyNumberFormat="1" applyFont="1" applyBorder="1"/>
    <xf numFmtId="0" fontId="3" fillId="0" borderId="47" xfId="0" applyFont="1" applyBorder="1"/>
    <xf numFmtId="2" fontId="2" fillId="9" borderId="16" xfId="0" applyNumberFormat="1" applyFont="1" applyFill="1" applyBorder="1" applyAlignment="1">
      <alignment horizontal="centerContinuous"/>
    </xf>
    <xf numFmtId="190" fontId="9" fillId="0" borderId="40" xfId="0" applyNumberFormat="1" applyFont="1" applyBorder="1" applyAlignment="1">
      <alignment horizontal="center" vertical="center"/>
    </xf>
    <xf numFmtId="190" fontId="8" fillId="0" borderId="40" xfId="0" applyNumberFormat="1" applyFont="1" applyBorder="1" applyAlignment="1">
      <alignment horizontal="center" vertical="center"/>
    </xf>
    <xf numFmtId="0" fontId="8" fillId="0" borderId="20" xfId="0" applyFont="1" applyBorder="1" applyAlignment="1">
      <alignment horizontal="center"/>
    </xf>
    <xf numFmtId="3" fontId="8" fillId="0" borderId="20" xfId="0" applyNumberFormat="1" applyFont="1" applyBorder="1" applyAlignment="1">
      <alignment horizontal="center"/>
    </xf>
    <xf numFmtId="3" fontId="6" fillId="0" borderId="0" xfId="0" applyNumberFormat="1" applyFont="1" applyAlignment="1">
      <alignment horizontal="center"/>
    </xf>
    <xf numFmtId="3" fontId="6" fillId="0" borderId="0" xfId="0" applyNumberFormat="1" applyFont="1"/>
    <xf numFmtId="0" fontId="0" fillId="0" borderId="0" xfId="0" quotePrefix="1"/>
    <xf numFmtId="8" fontId="8" fillId="7" borderId="39" xfId="0" applyNumberFormat="1" applyFont="1" applyFill="1" applyBorder="1" applyAlignment="1">
      <alignment horizontal="center" vertical="center"/>
    </xf>
    <xf numFmtId="10" fontId="8" fillId="7" borderId="19" xfId="0" applyNumberFormat="1" applyFont="1" applyFill="1" applyBorder="1" applyAlignment="1">
      <alignment horizontal="left" vertical="center"/>
    </xf>
    <xf numFmtId="10" fontId="8" fillId="7" borderId="23" xfId="0" applyNumberFormat="1" applyFont="1" applyFill="1" applyBorder="1" applyAlignment="1">
      <alignment horizontal="left" vertical="center"/>
    </xf>
    <xf numFmtId="168" fontId="8" fillId="7" borderId="0" xfId="0" applyNumberFormat="1" applyFont="1" applyFill="1" applyAlignment="1">
      <alignment horizontal="right"/>
    </xf>
    <xf numFmtId="168" fontId="8" fillId="7" borderId="18" xfId="0" applyNumberFormat="1" applyFont="1" applyFill="1" applyBorder="1" applyAlignment="1">
      <alignment horizontal="right"/>
    </xf>
    <xf numFmtId="168" fontId="8" fillId="7" borderId="20" xfId="0" applyNumberFormat="1" applyFont="1" applyFill="1" applyBorder="1" applyAlignment="1">
      <alignment horizontal="right"/>
    </xf>
    <xf numFmtId="17" fontId="8" fillId="7" borderId="21" xfId="0" applyNumberFormat="1" applyFont="1" applyFill="1" applyBorder="1" applyAlignment="1">
      <alignment horizontal="right"/>
    </xf>
    <xf numFmtId="170" fontId="8" fillId="7" borderId="22" xfId="0" applyNumberFormat="1" applyFont="1" applyFill="1" applyBorder="1" applyAlignment="1">
      <alignment horizontal="right"/>
    </xf>
    <xf numFmtId="171" fontId="8" fillId="7" borderId="21" xfId="0" applyNumberFormat="1" applyFont="1" applyFill="1" applyBorder="1" applyAlignment="1">
      <alignment horizontal="right"/>
    </xf>
    <xf numFmtId="171" fontId="8" fillId="7" borderId="22" xfId="0" applyNumberFormat="1" applyFont="1" applyFill="1" applyBorder="1" applyAlignment="1">
      <alignment horizontal="right"/>
    </xf>
    <xf numFmtId="8" fontId="8" fillId="7" borderId="25" xfId="0" applyNumberFormat="1" applyFont="1" applyFill="1" applyBorder="1" applyAlignment="1">
      <alignment horizontal="right"/>
    </xf>
    <xf numFmtId="6" fontId="8" fillId="7" borderId="21" xfId="0" applyNumberFormat="1" applyFont="1" applyFill="1" applyBorder="1"/>
    <xf numFmtId="6" fontId="8" fillId="7" borderId="26" xfId="0" applyNumberFormat="1" applyFont="1" applyFill="1" applyBorder="1"/>
    <xf numFmtId="6" fontId="8" fillId="7" borderId="26" xfId="0" applyNumberFormat="1" applyFont="1" applyFill="1" applyBorder="1" applyAlignment="1">
      <alignment horizontal="right"/>
    </xf>
    <xf numFmtId="0" fontId="8" fillId="7" borderId="21" xfId="0" applyFont="1" applyFill="1" applyBorder="1" applyAlignment="1">
      <alignment horizontal="center"/>
    </xf>
    <xf numFmtId="3" fontId="8" fillId="7" borderId="21" xfId="0" applyNumberFormat="1" applyFont="1" applyFill="1" applyBorder="1" applyAlignment="1">
      <alignment horizontal="center"/>
    </xf>
    <xf numFmtId="4" fontId="8" fillId="7" borderId="21" xfId="0" applyNumberFormat="1" applyFont="1" applyFill="1" applyBorder="1" applyAlignment="1">
      <alignment horizontal="center"/>
    </xf>
    <xf numFmtId="0" fontId="8" fillId="7" borderId="26" xfId="0" applyFont="1" applyFill="1" applyBorder="1" applyAlignment="1">
      <alignment horizontal="center"/>
    </xf>
    <xf numFmtId="3" fontId="8" fillId="7" borderId="26" xfId="0" applyNumberFormat="1" applyFont="1" applyFill="1" applyBorder="1" applyAlignment="1">
      <alignment horizontal="center"/>
    </xf>
    <xf numFmtId="4" fontId="8" fillId="7" borderId="26" xfId="0" applyNumberFormat="1" applyFont="1" applyFill="1" applyBorder="1" applyAlignment="1">
      <alignment horizontal="center"/>
    </xf>
    <xf numFmtId="0" fontId="9" fillId="7" borderId="41" xfId="0" applyFont="1" applyFill="1" applyBorder="1" applyAlignment="1">
      <alignment horizontal="center" vertical="center"/>
    </xf>
    <xf numFmtId="0" fontId="8" fillId="7" borderId="41" xfId="0" applyFont="1" applyFill="1" applyBorder="1" applyAlignment="1">
      <alignment horizontal="center" vertical="center"/>
    </xf>
    <xf numFmtId="49" fontId="9" fillId="7" borderId="41" xfId="0" quotePrefix="1" applyNumberFormat="1" applyFont="1" applyFill="1" applyBorder="1" applyAlignment="1">
      <alignment horizontal="center" vertical="center"/>
    </xf>
    <xf numFmtId="9" fontId="9" fillId="7" borderId="40" xfId="0" applyNumberFormat="1" applyFont="1" applyFill="1" applyBorder="1" applyAlignment="1">
      <alignment horizontal="center" vertical="center"/>
    </xf>
    <xf numFmtId="9" fontId="8" fillId="7" borderId="40" xfId="0" applyNumberFormat="1" applyFont="1" applyFill="1" applyBorder="1" applyAlignment="1">
      <alignment horizontal="center" vertical="center"/>
    </xf>
    <xf numFmtId="8" fontId="9" fillId="7" borderId="41" xfId="0" applyNumberFormat="1" applyFont="1" applyFill="1" applyBorder="1" applyAlignment="1">
      <alignment horizontal="center" vertical="center"/>
    </xf>
    <xf numFmtId="8" fontId="8" fillId="7" borderId="41" xfId="0" applyNumberFormat="1" applyFont="1" applyFill="1" applyBorder="1" applyAlignment="1">
      <alignment horizontal="center" vertical="center"/>
    </xf>
    <xf numFmtId="10" fontId="9" fillId="7" borderId="40" xfId="0" applyNumberFormat="1" applyFont="1" applyFill="1" applyBorder="1" applyAlignment="1">
      <alignment horizontal="center" vertical="center"/>
    </xf>
    <xf numFmtId="10" fontId="8" fillId="7" borderId="40" xfId="0" applyNumberFormat="1" applyFont="1" applyFill="1" applyBorder="1" applyAlignment="1">
      <alignment horizontal="center" vertical="center"/>
    </xf>
    <xf numFmtId="8" fontId="9" fillId="7" borderId="39" xfId="0" applyNumberFormat="1" applyFont="1" applyFill="1" applyBorder="1" applyAlignment="1">
      <alignment horizontal="center" vertical="center"/>
    </xf>
    <xf numFmtId="10" fontId="9" fillId="7" borderId="41" xfId="0" applyNumberFormat="1" applyFont="1" applyFill="1" applyBorder="1" applyAlignment="1">
      <alignment horizontal="center" vertical="center"/>
    </xf>
    <xf numFmtId="10" fontId="9" fillId="7" borderId="39" xfId="0" applyNumberFormat="1" applyFont="1" applyFill="1" applyBorder="1" applyAlignment="1">
      <alignment horizontal="center" vertical="center"/>
    </xf>
    <xf numFmtId="10" fontId="8" fillId="7" borderId="39" xfId="0" applyNumberFormat="1" applyFont="1" applyFill="1" applyBorder="1" applyAlignment="1">
      <alignment horizontal="center" vertical="center"/>
    </xf>
    <xf numFmtId="10" fontId="43" fillId="0" borderId="0" xfId="5" applyNumberFormat="1" applyFont="1"/>
    <xf numFmtId="10" fontId="43" fillId="0" borderId="0" xfId="0" applyNumberFormat="1" applyFont="1"/>
    <xf numFmtId="9" fontId="8" fillId="7" borderId="21" xfId="5" applyFont="1" applyFill="1" applyBorder="1" applyAlignment="1">
      <alignment horizontal="right"/>
    </xf>
    <xf numFmtId="0" fontId="46" fillId="13" borderId="0" xfId="0" applyFont="1" applyFill="1" applyAlignment="1">
      <alignment horizontal="right" vertical="center" wrapText="1" shrinkToFit="1" readingOrder="1"/>
    </xf>
    <xf numFmtId="0" fontId="46" fillId="0" borderId="0" xfId="0" applyFont="1" applyAlignment="1">
      <alignment horizontal="right" vertical="center" wrapText="1" shrinkToFit="1" readingOrder="1"/>
    </xf>
    <xf numFmtId="0" fontId="46" fillId="0" borderId="0" xfId="0" applyFont="1" applyAlignment="1">
      <alignment horizontal="left" vertical="center" wrapText="1" shrinkToFit="1" readingOrder="1"/>
    </xf>
    <xf numFmtId="0" fontId="47" fillId="0" borderId="0" xfId="0" applyFont="1" applyAlignment="1">
      <alignment horizontal="right" vertical="center" wrapText="1" shrinkToFit="1" readingOrder="1"/>
    </xf>
    <xf numFmtId="0" fontId="48" fillId="0" borderId="0" xfId="0" applyFont="1" applyAlignment="1">
      <alignment horizontal="left" vertical="center" wrapText="1" shrinkToFit="1" readingOrder="1"/>
    </xf>
    <xf numFmtId="0" fontId="49" fillId="0" borderId="0" xfId="0" applyFont="1" applyAlignment="1">
      <alignment horizontal="left" vertical="center" wrapText="1" shrinkToFit="1" readingOrder="1"/>
    </xf>
    <xf numFmtId="3" fontId="46" fillId="0" borderId="0" xfId="0" applyNumberFormat="1" applyFont="1" applyAlignment="1">
      <alignment horizontal="right" vertical="center" wrapText="1" shrinkToFit="1" readingOrder="1"/>
    </xf>
    <xf numFmtId="3" fontId="46" fillId="0" borderId="61" xfId="0" applyNumberFormat="1" applyFont="1" applyBorder="1" applyAlignment="1">
      <alignment horizontal="right" vertical="center" wrapText="1" shrinkToFit="1" readingOrder="1"/>
    </xf>
    <xf numFmtId="3" fontId="46" fillId="0" borderId="62" xfId="0" applyNumberFormat="1" applyFont="1" applyBorder="1" applyAlignment="1">
      <alignment horizontal="right" vertical="center" wrapText="1" shrinkToFit="1" readingOrder="1"/>
    </xf>
    <xf numFmtId="3" fontId="46" fillId="0" borderId="63" xfId="0" applyNumberFormat="1" applyFont="1" applyBorder="1" applyAlignment="1">
      <alignment horizontal="right" vertical="center" wrapText="1" shrinkToFit="1" readingOrder="1"/>
    </xf>
    <xf numFmtId="10" fontId="46" fillId="0" borderId="0" xfId="0" applyNumberFormat="1" applyFont="1" applyAlignment="1">
      <alignment horizontal="right" vertical="center" wrapText="1" shrinkToFit="1" readingOrder="1"/>
    </xf>
    <xf numFmtId="0" fontId="48" fillId="0" borderId="0" xfId="0" applyFont="1" applyAlignment="1">
      <alignment horizontal="right" vertical="center" wrapText="1" shrinkToFit="1" readingOrder="1"/>
    </xf>
    <xf numFmtId="0" fontId="51" fillId="0" borderId="0" xfId="0" applyFont="1" applyAlignment="1">
      <alignment horizontal="left" vertical="center" wrapText="1" shrinkToFit="1" readingOrder="1"/>
    </xf>
    <xf numFmtId="0" fontId="51" fillId="0" borderId="0" xfId="0" applyFont="1" applyAlignment="1">
      <alignment horizontal="right" vertical="center" wrapText="1" shrinkToFit="1" readingOrder="1"/>
    </xf>
    <xf numFmtId="191" fontId="3" fillId="0" borderId="0" xfId="0" applyNumberFormat="1" applyFont="1"/>
    <xf numFmtId="0" fontId="2" fillId="5" borderId="4" xfId="9" applyFont="1" applyFill="1" applyBorder="1" applyAlignment="1">
      <alignment horizontal="left"/>
    </xf>
    <xf numFmtId="0" fontId="2" fillId="5" borderId="0" xfId="9" applyFont="1" applyFill="1" applyAlignment="1">
      <alignment horizontal="left"/>
    </xf>
    <xf numFmtId="0" fontId="2" fillId="6" borderId="50" xfId="0" applyFont="1" applyFill="1" applyBorder="1" applyAlignment="1">
      <alignment horizontal="center" vertical="center"/>
    </xf>
    <xf numFmtId="0" fontId="2" fillId="6" borderId="43" xfId="0" applyFont="1" applyFill="1" applyBorder="1" applyAlignment="1">
      <alignment horizontal="center" vertical="center"/>
    </xf>
    <xf numFmtId="181" fontId="2" fillId="5" borderId="47" xfId="0" applyNumberFormat="1" applyFont="1" applyFill="1" applyBorder="1" applyAlignment="1">
      <alignment horizontal="center"/>
    </xf>
    <xf numFmtId="181" fontId="2" fillId="5" borderId="45" xfId="0" applyNumberFormat="1" applyFont="1" applyFill="1" applyBorder="1" applyAlignment="1">
      <alignment horizontal="center"/>
    </xf>
    <xf numFmtId="0" fontId="37" fillId="5" borderId="0" xfId="0" applyFont="1" applyFill="1" applyAlignment="1">
      <alignment horizontal="left" vertical="center"/>
    </xf>
    <xf numFmtId="0" fontId="24" fillId="11" borderId="5" xfId="0" applyFont="1" applyFill="1" applyBorder="1" applyAlignment="1">
      <alignment horizontal="center" vertical="center" wrapText="1"/>
    </xf>
    <xf numFmtId="0" fontId="50" fillId="0" borderId="0" xfId="0" applyFont="1" applyAlignment="1">
      <alignment horizontal="left" vertical="center" wrapText="1" shrinkToFit="1" readingOrder="1"/>
    </xf>
    <xf numFmtId="0" fontId="46" fillId="0" borderId="0" xfId="0" applyFont="1" applyAlignment="1">
      <alignment horizontal="left" vertical="center" wrapText="1" shrinkToFit="1" readingOrder="1"/>
    </xf>
    <xf numFmtId="3" fontId="46" fillId="0" borderId="64" xfId="0" applyNumberFormat="1" applyFont="1" applyBorder="1" applyAlignment="1">
      <alignment horizontal="right" vertical="center" wrapText="1" shrinkToFit="1" readingOrder="1"/>
    </xf>
    <xf numFmtId="3" fontId="48" fillId="0" borderId="60" xfId="0" applyNumberFormat="1" applyFont="1" applyBorder="1" applyAlignment="1">
      <alignment horizontal="right" vertical="center" wrapText="1" shrinkToFit="1" readingOrder="1"/>
    </xf>
  </cellXfs>
  <cellStyles count="10">
    <cellStyle name="Comma 2" xfId="2" xr:uid="{B84AAEC1-CF9C-4E59-980C-A2BB30506E6C}"/>
    <cellStyle name="Currency 2" xfId="8" xr:uid="{8F6B7EBD-2012-44A4-A89E-C83209D4836A}"/>
    <cellStyle name="Normal" xfId="0" builtinId="0"/>
    <cellStyle name="Normal 10" xfId="1" xr:uid="{33FD1D41-AB0F-4977-8807-C4D7B854207D}"/>
    <cellStyle name="Normal 2" xfId="4" xr:uid="{B95969D0-F007-4E4E-B0AF-DBC0A497B415}"/>
    <cellStyle name="Normal 2 3" xfId="9" xr:uid="{2031AEB5-BDA3-4E47-9DAB-DCEF987F65FF}"/>
    <cellStyle name="Normal 3" xfId="6" xr:uid="{2A681EEC-B975-47A6-A2A8-889D86EF901B}"/>
    <cellStyle name="Percent" xfId="5" builtinId="5"/>
    <cellStyle name="Percent 2" xfId="3" xr:uid="{F3E79D3C-93A1-40B0-894B-6E8EF5F8B4AB}"/>
    <cellStyle name="Percent 28" xfId="7" xr:uid="{BE4BF887-6C36-43BF-830E-C0A22C9CDC57}"/>
  </cellStyles>
  <dxfs count="5">
    <dxf>
      <font>
        <color rgb="FF9C0006"/>
      </font>
      <fill>
        <patternFill>
          <bgColor rgb="FFFFC7CE"/>
        </patternFill>
      </fill>
    </dxf>
    <dxf>
      <font>
        <color rgb="FF006100"/>
      </font>
      <fill>
        <patternFill>
          <bgColor rgb="FFC6EFCE"/>
        </patternFill>
      </fill>
    </dxf>
    <dxf>
      <fill>
        <patternFill>
          <bgColor theme="2" tint="-9.9948118533890809E-2"/>
        </patternFill>
      </fill>
    </dxf>
    <dxf>
      <fill>
        <patternFill>
          <bgColor theme="2" tint="-9.9948118533890809E-2"/>
        </patternFill>
      </fill>
    </dxf>
    <dxf>
      <font>
        <color rgb="FF9C0006"/>
      </font>
      <fill>
        <patternFill>
          <bgColor rgb="FFFFC7CE"/>
        </patternFill>
      </fill>
    </dxf>
  </dxfs>
  <tableStyles count="0" defaultTableStyle="TableStyleMedium2" defaultPivotStyle="PivotStyleLight16"/>
  <colors>
    <mruColors>
      <color rgb="FF0000FF"/>
      <color rgb="FF28AED2"/>
      <color rgb="FF0066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kern="1200" spc="0" baseline="0" dirty="0">
                <a:solidFill>
                  <a:prstClr val="black">
                    <a:lumMod val="65000"/>
                    <a:lumOff val="35000"/>
                  </a:prstClr>
                </a:solidFill>
                <a:latin typeface="Arial" panose="020B0604020202020204" pitchFamily="34" charset="0"/>
                <a:cs typeface="Arial" panose="020B0604020202020204" pitchFamily="34" charset="0"/>
              </a:rPr>
              <a:t>Empire State Building Observatory Revenue ($M)</a:t>
            </a:r>
          </a:p>
        </c:rich>
      </c:tx>
      <c:overlay val="0"/>
      <c:spPr>
        <a:solidFill>
          <a:schemeClr val="bg1"/>
        </a:solid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'Observatory Analysis'!$B$47</c:f>
              <c:strCache>
                <c:ptCount val="1"/>
                <c:pt idx="0">
                  <c:v>Historic Revenue</c:v>
                </c:pt>
              </c:strCache>
            </c:strRef>
          </c:tx>
          <c:spPr>
            <a:solidFill>
              <a:schemeClr val="accent1"/>
            </a:solidFill>
            <a:ln w="63500">
              <a:solidFill>
                <a:schemeClr val="accent1"/>
              </a:solidFill>
            </a:ln>
            <a:effectLst/>
          </c:spPr>
          <c:invertIfNegative val="0"/>
          <c:trendline>
            <c:spPr>
              <a:ln w="47625" cap="rnd">
                <a:solidFill>
                  <a:schemeClr val="accent1"/>
                </a:solidFill>
                <a:prstDash val="sysDot"/>
              </a:ln>
              <a:effectLst/>
            </c:spPr>
            <c:trendlineType val="linear"/>
            <c:dispRSqr val="0"/>
            <c:dispEq val="0"/>
          </c:trendline>
          <c:cat>
            <c:numRef>
              <c:f>'Observatory Analysis'!$A$48:$A$81</c:f>
              <c:numCache>
                <c:formatCode>General</c:formatCode>
                <c:ptCount val="3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numCache>
            </c:numRef>
          </c:cat>
          <c:val>
            <c:numRef>
              <c:f>'Observatory Analysis'!$B$48:$B$81</c:f>
              <c:numCache>
                <c:formatCode>General</c:formatCode>
                <c:ptCount val="34"/>
                <c:pt idx="0">
                  <c:v>25</c:v>
                </c:pt>
                <c:pt idx="1">
                  <c:v>29.6</c:v>
                </c:pt>
                <c:pt idx="2">
                  <c:v>33.4</c:v>
                </c:pt>
                <c:pt idx="3">
                  <c:v>40</c:v>
                </c:pt>
                <c:pt idx="4">
                  <c:v>50.1</c:v>
                </c:pt>
                <c:pt idx="5">
                  <c:v>56.3</c:v>
                </c:pt>
                <c:pt idx="6">
                  <c:v>62.9</c:v>
                </c:pt>
                <c:pt idx="7">
                  <c:v>72.2</c:v>
                </c:pt>
                <c:pt idx="8">
                  <c:v>71.599999999999994</c:v>
                </c:pt>
                <c:pt idx="9">
                  <c:v>78.900000000000006</c:v>
                </c:pt>
                <c:pt idx="10">
                  <c:v>80.599999999999994</c:v>
                </c:pt>
                <c:pt idx="11">
                  <c:v>91.9</c:v>
                </c:pt>
                <c:pt idx="12">
                  <c:v>101.8</c:v>
                </c:pt>
                <c:pt idx="13">
                  <c:v>111.5</c:v>
                </c:pt>
                <c:pt idx="14">
                  <c:v>112.2</c:v>
                </c:pt>
                <c:pt idx="15">
                  <c:v>124.8</c:v>
                </c:pt>
                <c:pt idx="16">
                  <c:v>127.1</c:v>
                </c:pt>
                <c:pt idx="17">
                  <c:v>131.19999999999999</c:v>
                </c:pt>
                <c:pt idx="18">
                  <c:v>127.8</c:v>
                </c:pt>
                <c:pt idx="19">
                  <c:v>29.1</c:v>
                </c:pt>
                <c:pt idx="20">
                  <c:v>41.5</c:v>
                </c:pt>
                <c:pt idx="21">
                  <c:v>61.8</c:v>
                </c:pt>
              </c:numCache>
            </c:numRef>
          </c:val>
          <c:extLst>
            <c:ext xmlns:c16="http://schemas.microsoft.com/office/drawing/2014/chart" uri="{C3380CC4-5D6E-409C-BE32-E72D297353CC}">
              <c16:uniqueId val="{00000000-BB72-4796-A804-1D17F7637576}"/>
            </c:ext>
          </c:extLst>
        </c:ser>
        <c:ser>
          <c:idx val="1"/>
          <c:order val="1"/>
          <c:tx>
            <c:strRef>
              <c:f>'Observatory Analysis'!$C$47</c:f>
              <c:strCache>
                <c:ptCount val="1"/>
                <c:pt idx="0">
                  <c:v>Projected Revenue</c:v>
                </c:pt>
              </c:strCache>
            </c:strRef>
          </c:tx>
          <c:spPr>
            <a:solidFill>
              <a:schemeClr val="accent2"/>
            </a:solidFill>
            <a:ln w="73025">
              <a:solidFill>
                <a:schemeClr val="accent2"/>
              </a:solidFill>
            </a:ln>
            <a:effectLst/>
          </c:spPr>
          <c:invertIfNegative val="0"/>
          <c:cat>
            <c:numRef>
              <c:f>'Observatory Analysis'!$A$48:$A$81</c:f>
              <c:numCache>
                <c:formatCode>General</c:formatCode>
                <c:ptCount val="3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numCache>
            </c:numRef>
          </c:cat>
          <c:val>
            <c:numRef>
              <c:f>'Observatory Analysis'!$C$48:$C$81</c:f>
              <c:numCache>
                <c:formatCode>General</c:formatCode>
                <c:ptCount val="34"/>
                <c:pt idx="22" formatCode="#,##0">
                  <c:v>129.4</c:v>
                </c:pt>
                <c:pt idx="23" formatCode="#,##0">
                  <c:v>131.988</c:v>
                </c:pt>
                <c:pt idx="24" formatCode="#,##0">
                  <c:v>134.62775999999999</c:v>
                </c:pt>
                <c:pt idx="25" formatCode="#,##0">
                  <c:v>137.32031519999998</c:v>
                </c:pt>
                <c:pt idx="26" formatCode="#,##0">
                  <c:v>140.06672150399999</c:v>
                </c:pt>
                <c:pt idx="27" formatCode="#,##0">
                  <c:v>142.86805593407996</c:v>
                </c:pt>
                <c:pt idx="28" formatCode="#,##0">
                  <c:v>145.72541705276157</c:v>
                </c:pt>
                <c:pt idx="29" formatCode="#,##0">
                  <c:v>148.63992539381684</c:v>
                </c:pt>
                <c:pt idx="30" formatCode="#,##0">
                  <c:v>151.61272390169316</c:v>
                </c:pt>
                <c:pt idx="31" formatCode="#,##0">
                  <c:v>154.64497837972704</c:v>
                </c:pt>
                <c:pt idx="32" formatCode="#,##0">
                  <c:v>157.73787794732161</c:v>
                </c:pt>
                <c:pt idx="33" formatCode="#,##0">
                  <c:v>160.89263550626802</c:v>
                </c:pt>
              </c:numCache>
            </c:numRef>
          </c:val>
          <c:extLst>
            <c:ext xmlns:c16="http://schemas.microsoft.com/office/drawing/2014/chart" uri="{C3380CC4-5D6E-409C-BE32-E72D297353CC}">
              <c16:uniqueId val="{00000003-BB72-4796-A804-1D17F7637576}"/>
            </c:ext>
          </c:extLst>
        </c:ser>
        <c:dLbls>
          <c:showLegendKey val="0"/>
          <c:showVal val="0"/>
          <c:showCatName val="0"/>
          <c:showSerName val="0"/>
          <c:showPercent val="0"/>
          <c:showBubbleSize val="0"/>
        </c:dLbls>
        <c:gapWidth val="219"/>
        <c:overlap val="-27"/>
        <c:axId val="171127792"/>
        <c:axId val="385256672"/>
      </c:barChart>
      <c:catAx>
        <c:axId val="17112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256672"/>
        <c:crosses val="autoZero"/>
        <c:auto val="1"/>
        <c:lblAlgn val="ctr"/>
        <c:lblOffset val="100"/>
        <c:noMultiLvlLbl val="0"/>
      </c:catAx>
      <c:valAx>
        <c:axId val="38525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15031458053711"/>
          <c:y val="2.9111302266302701E-2"/>
          <c:w val="0.87572801974196357"/>
          <c:h val="0.88637388738983125"/>
        </c:manualLayout>
      </c:layout>
      <c:barChart>
        <c:barDir val="col"/>
        <c:grouping val="stacked"/>
        <c:varyColors val="0"/>
        <c:ser>
          <c:idx val="0"/>
          <c:order val="0"/>
          <c:tx>
            <c:strRef>
              <c:f>'Loan Amortization'!$G$25</c:f>
              <c:strCache>
                <c:ptCount val="1"/>
                <c:pt idx="0">
                  <c:v>Interest Payment</c:v>
                </c:pt>
              </c:strCache>
            </c:strRef>
          </c:tx>
          <c:spPr>
            <a:solidFill>
              <a:schemeClr val="accent1"/>
            </a:solidFill>
            <a:ln>
              <a:noFill/>
            </a:ln>
            <a:effectLst/>
          </c:spPr>
          <c:invertIfNegative val="0"/>
          <c:val>
            <c:numRef>
              <c:f>'Loan Amortization'!$G$27:$G$386</c:f>
              <c:numCache>
                <c:formatCode>_(#,##0_)_%;\(#,##0\)_%;_("–"_)_%;_(@_)_%</c:formatCode>
                <c:ptCount val="360"/>
                <c:pt idx="0">
                  <c:v>6239362.0450445618</c:v>
                </c:pt>
                <c:pt idx="1">
                  <c:v>6239362.0450445618</c:v>
                </c:pt>
                <c:pt idx="2">
                  <c:v>6239362.0450445618</c:v>
                </c:pt>
                <c:pt idx="3">
                  <c:v>6239362.0450445618</c:v>
                </c:pt>
                <c:pt idx="4">
                  <c:v>6239362.0450445618</c:v>
                </c:pt>
                <c:pt idx="5">
                  <c:v>6239362.0450445618</c:v>
                </c:pt>
                <c:pt idx="6">
                  <c:v>6239362.0450445618</c:v>
                </c:pt>
                <c:pt idx="7">
                  <c:v>6239362.0450445618</c:v>
                </c:pt>
                <c:pt idx="8">
                  <c:v>6239362.0450445618</c:v>
                </c:pt>
                <c:pt idx="9">
                  <c:v>6239362.0450445618</c:v>
                </c:pt>
                <c:pt idx="10">
                  <c:v>6239362.0450445618</c:v>
                </c:pt>
                <c:pt idx="11">
                  <c:v>6239362.0450445618</c:v>
                </c:pt>
                <c:pt idx="12">
                  <c:v>6239362.0450445618</c:v>
                </c:pt>
                <c:pt idx="13">
                  <c:v>6239362.0450445618</c:v>
                </c:pt>
                <c:pt idx="14">
                  <c:v>6239362.0450445618</c:v>
                </c:pt>
                <c:pt idx="15">
                  <c:v>6239362.0450445618</c:v>
                </c:pt>
                <c:pt idx="16">
                  <c:v>6239362.0450445618</c:v>
                </c:pt>
                <c:pt idx="17">
                  <c:v>6239362.0450445618</c:v>
                </c:pt>
                <c:pt idx="18">
                  <c:v>6239362.0450445618</c:v>
                </c:pt>
                <c:pt idx="19">
                  <c:v>6239362.0450445618</c:v>
                </c:pt>
                <c:pt idx="20">
                  <c:v>6239362.0450445618</c:v>
                </c:pt>
                <c:pt idx="21">
                  <c:v>6239362.0450445618</c:v>
                </c:pt>
                <c:pt idx="22">
                  <c:v>6239362.0450445618</c:v>
                </c:pt>
                <c:pt idx="23">
                  <c:v>6239362.0450445618</c:v>
                </c:pt>
                <c:pt idx="24">
                  <c:v>6239362.0450445618</c:v>
                </c:pt>
                <c:pt idx="25">
                  <c:v>6239362.0450445618</c:v>
                </c:pt>
                <c:pt idx="26">
                  <c:v>6239362.0450445618</c:v>
                </c:pt>
                <c:pt idx="27">
                  <c:v>6239362.0450445618</c:v>
                </c:pt>
                <c:pt idx="28">
                  <c:v>6239362.0450445618</c:v>
                </c:pt>
                <c:pt idx="29">
                  <c:v>6239362.0450445618</c:v>
                </c:pt>
                <c:pt idx="30">
                  <c:v>6239362.0450445618</c:v>
                </c:pt>
                <c:pt idx="31">
                  <c:v>6239362.0450445618</c:v>
                </c:pt>
                <c:pt idx="32">
                  <c:v>6239362.0450445618</c:v>
                </c:pt>
                <c:pt idx="33">
                  <c:v>6239362.0450445618</c:v>
                </c:pt>
                <c:pt idx="34">
                  <c:v>6239362.0450445618</c:v>
                </c:pt>
                <c:pt idx="35">
                  <c:v>6239362.0450445618</c:v>
                </c:pt>
                <c:pt idx="36">
                  <c:v>6239362.0450445618</c:v>
                </c:pt>
                <c:pt idx="37">
                  <c:v>6234247.6922717113</c:v>
                </c:pt>
                <c:pt idx="38">
                  <c:v>6229103.5057743518</c:v>
                </c:pt>
                <c:pt idx="39">
                  <c:v>6223929.3115224242</c:v>
                </c:pt>
                <c:pt idx="40">
                  <c:v>6218724.9344706945</c:v>
                </c:pt>
                <c:pt idx="41">
                  <c:v>6213490.1985528292</c:v>
                </c:pt>
                <c:pt idx="42">
                  <c:v>6208224.9266754426</c:v>
                </c:pt>
                <c:pt idx="43">
                  <c:v>6202928.9407121055</c:v>
                </c:pt>
                <c:pt idx="44">
                  <c:v>6197602.0614973148</c:v>
                </c:pt>
                <c:pt idx="45">
                  <c:v>6192244.1088204384</c:v>
                </c:pt>
                <c:pt idx="46">
                  <c:v>6186854.9014196135</c:v>
                </c:pt>
                <c:pt idx="47">
                  <c:v>6181434.2569756163</c:v>
                </c:pt>
                <c:pt idx="48">
                  <c:v>6175981.9921056964</c:v>
                </c:pt>
                <c:pt idx="49">
                  <c:v>6170497.9223573683</c:v>
                </c:pt>
                <c:pt idx="50">
                  <c:v>6164981.862202175</c:v>
                </c:pt>
                <c:pt idx="51">
                  <c:v>6159433.6250294102</c:v>
                </c:pt>
                <c:pt idx="52">
                  <c:v>6153853.0231398046</c:v>
                </c:pt>
                <c:pt idx="53">
                  <c:v>6148239.8677391754</c:v>
                </c:pt>
                <c:pt idx="54">
                  <c:v>6142593.9689320428</c:v>
                </c:pt>
                <c:pt idx="55">
                  <c:v>6136915.1357152024</c:v>
                </c:pt>
                <c:pt idx="56">
                  <c:v>6131203.1759712631</c:v>
                </c:pt>
                <c:pt idx="57">
                  <c:v>6125457.8964621508</c:v>
                </c:pt>
                <c:pt idx="58">
                  <c:v>6119679.1028225683</c:v>
                </c:pt>
                <c:pt idx="59">
                  <c:v>6113866.599553423</c:v>
                </c:pt>
                <c:pt idx="60">
                  <c:v>6108020.1900152061</c:v>
                </c:pt>
                <c:pt idx="61">
                  <c:v>6102139.6764213508</c:v>
                </c:pt>
                <c:pt idx="62">
                  <c:v>6096224.8598315315</c:v>
                </c:pt>
                <c:pt idx="63">
                  <c:v>6090275.5401449371</c:v>
                </c:pt>
                <c:pt idx="64">
                  <c:v>6084291.5160935055</c:v>
                </c:pt>
                <c:pt idx="65">
                  <c:v>6078272.5852351068</c:v>
                </c:pt>
                <c:pt idx="66">
                  <c:v>6072218.5439467002</c:v>
                </c:pt>
                <c:pt idx="67">
                  <c:v>6066129.1874174448</c:v>
                </c:pt>
                <c:pt idx="68">
                  <c:v>6060004.3096417692</c:v>
                </c:pt>
                <c:pt idx="69">
                  <c:v>6053843.7034124015</c:v>
                </c:pt>
                <c:pt idx="70">
                  <c:v>6047647.1603133623</c:v>
                </c:pt>
                <c:pt idx="71">
                  <c:v>6041414.4707129123</c:v>
                </c:pt>
                <c:pt idx="72">
                  <c:v>6035145.4237564597</c:v>
                </c:pt>
                <c:pt idx="73">
                  <c:v>6028839.8073594281</c:v>
                </c:pt>
                <c:pt idx="74">
                  <c:v>6022497.4082000805</c:v>
                </c:pt>
                <c:pt idx="75">
                  <c:v>6016118.0117123034</c:v>
                </c:pt>
                <c:pt idx="76">
                  <c:v>6009701.4020783463</c:v>
                </c:pt>
                <c:pt idx="77">
                  <c:v>6003247.362221526</c:v>
                </c:pt>
                <c:pt idx="78">
                  <c:v>5996755.673798874</c:v>
                </c:pt>
                <c:pt idx="79">
                  <c:v>5990226.1171937566</c:v>
                </c:pt>
                <c:pt idx="80">
                  <c:v>5983658.4715084424</c:v>
                </c:pt>
                <c:pt idx="81">
                  <c:v>5977052.5145566305</c:v>
                </c:pt>
                <c:pt idx="82">
                  <c:v>5970408.0228559328</c:v>
                </c:pt>
                <c:pt idx="83">
                  <c:v>5963724.7716203146</c:v>
                </c:pt>
                <c:pt idx="84">
                  <c:v>5957002.5347524891</c:v>
                </c:pt>
                <c:pt idx="85">
                  <c:v>5950241.0848362679</c:v>
                </c:pt>
                <c:pt idx="86">
                  <c:v>5943440.193128868</c:v>
                </c:pt>
                <c:pt idx="87">
                  <c:v>5936599.6295531755</c:v>
                </c:pt>
                <c:pt idx="88">
                  <c:v>5929719.1626899578</c:v>
                </c:pt>
                <c:pt idx="89">
                  <c:v>5922798.5597700384</c:v>
                </c:pt>
                <c:pt idx="90">
                  <c:v>5915837.5866664192</c:v>
                </c:pt>
                <c:pt idx="91">
                  <c:v>5908836.0078863623</c:v>
                </c:pt>
                <c:pt idx="92">
                  <c:v>5901793.5865634214</c:v>
                </c:pt>
                <c:pt idx="93">
                  <c:v>5894710.08444943</c:v>
                </c:pt>
                <c:pt idx="94">
                  <c:v>5887585.2619064413</c:v>
                </c:pt>
                <c:pt idx="95">
                  <c:v>5880418.8778986176</c:v>
                </c:pt>
                <c:pt idx="96">
                  <c:v>5873210.6899840822</c:v>
                </c:pt>
                <c:pt idx="97">
                  <c:v>5865960.4543067114</c:v>
                </c:pt>
                <c:pt idx="98">
                  <c:v>5858667.9255878897</c:v>
                </c:pt>
                <c:pt idx="99">
                  <c:v>5851332.857118208</c:v>
                </c:pt>
                <c:pt idx="100">
                  <c:v>5843955.0007491196</c:v>
                </c:pt>
                <c:pt idx="101">
                  <c:v>5836534.1068845456</c:v>
                </c:pt>
                <c:pt idx="102">
                  <c:v>5829069.9244724279</c:v>
                </c:pt>
                <c:pt idx="103">
                  <c:v>5821562.2009962387</c:v>
                </c:pt>
                <c:pt idx="104">
                  <c:v>5814010.682466439</c:v>
                </c:pt>
                <c:pt idx="105">
                  <c:v>5806415.1134118829</c:v>
                </c:pt>
                <c:pt idx="106">
                  <c:v>5798775.2368711736</c:v>
                </c:pt>
                <c:pt idx="107">
                  <c:v>5791090.7943839785</c:v>
                </c:pt>
                <c:pt idx="108">
                  <c:v>5783361.5259822737</c:v>
                </c:pt>
                <c:pt idx="109">
                  <c:v>5775587.1701815594</c:v>
                </c:pt>
                <c:pt idx="110">
                  <c:v>5767767.4639720069</c:v>
                </c:pt>
                <c:pt idx="111">
                  <c:v>5759902.1428095661</c:v>
                </c:pt>
                <c:pt idx="112">
                  <c:v>5751990.9406070113</c:v>
                </c:pt>
                <c:pt idx="113">
                  <c:v>5744033.5897249412</c:v>
                </c:pt>
                <c:pt idx="114">
                  <c:v>5736029.8209627252</c:v>
                </c:pt>
                <c:pt idx="115">
                  <c:v>5727979.3635493973</c:v>
                </c:pt>
                <c:pt idx="116">
                  <c:v>5719881.9451344907</c:v>
                </c:pt>
                <c:pt idx="117">
                  <c:v>5711737.2917788308</c:v>
                </c:pt>
                <c:pt idx="118">
                  <c:v>5703545.1279452629</c:v>
                </c:pt>
                <c:pt idx="119">
                  <c:v>5695305.1764893327</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extLst>
            <c:ext xmlns:c16="http://schemas.microsoft.com/office/drawing/2014/chart" uri="{C3380CC4-5D6E-409C-BE32-E72D297353CC}">
              <c16:uniqueId val="{00000000-D423-459C-BF9E-DE0E02391494}"/>
            </c:ext>
          </c:extLst>
        </c:ser>
        <c:ser>
          <c:idx val="1"/>
          <c:order val="1"/>
          <c:tx>
            <c:strRef>
              <c:f>'Loan Amortization'!$H$25</c:f>
              <c:strCache>
                <c:ptCount val="1"/>
                <c:pt idx="0">
                  <c:v>Principal Payment</c:v>
                </c:pt>
              </c:strCache>
            </c:strRef>
          </c:tx>
          <c:spPr>
            <a:solidFill>
              <a:schemeClr val="accent2"/>
            </a:solidFill>
            <a:ln>
              <a:noFill/>
            </a:ln>
            <a:effectLst/>
          </c:spPr>
          <c:invertIfNegative val="0"/>
          <c:val>
            <c:numRef>
              <c:f>'Loan Amortization'!$H$27:$H$386</c:f>
              <c:numCache>
                <c:formatCode>_(#,##0_)_%;\(#,##0\)_%;_("–"_)_%;_(@_)_%</c:formatCode>
                <c:ptCount val="3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876746.18963161763</c:v>
                </c:pt>
                <c:pt idx="37">
                  <c:v>881860.54240446817</c:v>
                </c:pt>
                <c:pt idx="38">
                  <c:v>887004.72890182771</c:v>
                </c:pt>
                <c:pt idx="39">
                  <c:v>892178.92315375526</c:v>
                </c:pt>
                <c:pt idx="40">
                  <c:v>897383.30020548496</c:v>
                </c:pt>
                <c:pt idx="41">
                  <c:v>902618.03612335026</c:v>
                </c:pt>
                <c:pt idx="42">
                  <c:v>907883.30800073687</c:v>
                </c:pt>
                <c:pt idx="43">
                  <c:v>913179.29396407399</c:v>
                </c:pt>
                <c:pt idx="44">
                  <c:v>918506.17317886464</c:v>
                </c:pt>
                <c:pt idx="45">
                  <c:v>923864.12585574109</c:v>
                </c:pt>
                <c:pt idx="46">
                  <c:v>929253.33325656597</c:v>
                </c:pt>
                <c:pt idx="47">
                  <c:v>934673.97770056315</c:v>
                </c:pt>
                <c:pt idx="48">
                  <c:v>940126.24257048313</c:v>
                </c:pt>
                <c:pt idx="49">
                  <c:v>945610.31231881119</c:v>
                </c:pt>
                <c:pt idx="50">
                  <c:v>951126.37247400451</c:v>
                </c:pt>
                <c:pt idx="51">
                  <c:v>956674.60964676924</c:v>
                </c:pt>
                <c:pt idx="52">
                  <c:v>962255.21153637487</c:v>
                </c:pt>
                <c:pt idx="53">
                  <c:v>967868.36693700403</c:v>
                </c:pt>
                <c:pt idx="54">
                  <c:v>973514.26574413665</c:v>
                </c:pt>
                <c:pt idx="55">
                  <c:v>979193.09896097705</c:v>
                </c:pt>
                <c:pt idx="56">
                  <c:v>984905.05870491639</c:v>
                </c:pt>
                <c:pt idx="57">
                  <c:v>990650.33821402863</c:v>
                </c:pt>
                <c:pt idx="58">
                  <c:v>996429.13185361121</c:v>
                </c:pt>
                <c:pt idx="59">
                  <c:v>1002241.6351227565</c:v>
                </c:pt>
                <c:pt idx="60">
                  <c:v>1008088.0446609734</c:v>
                </c:pt>
                <c:pt idx="61">
                  <c:v>1013968.5582548287</c:v>
                </c:pt>
                <c:pt idx="62">
                  <c:v>1019883.3748446479</c:v>
                </c:pt>
                <c:pt idx="63">
                  <c:v>1025832.6945312424</c:v>
                </c:pt>
                <c:pt idx="64">
                  <c:v>1031816.7185826739</c:v>
                </c:pt>
                <c:pt idx="65">
                  <c:v>1037835.6494410727</c:v>
                </c:pt>
                <c:pt idx="66">
                  <c:v>1043889.6907294793</c:v>
                </c:pt>
                <c:pt idx="67">
                  <c:v>1049979.0472587347</c:v>
                </c:pt>
                <c:pt idx="68">
                  <c:v>1056103.9250344103</c:v>
                </c:pt>
                <c:pt idx="69">
                  <c:v>1062264.531263778</c:v>
                </c:pt>
                <c:pt idx="70">
                  <c:v>1068461.0743628172</c:v>
                </c:pt>
                <c:pt idx="71">
                  <c:v>1074693.7639632672</c:v>
                </c:pt>
                <c:pt idx="72">
                  <c:v>1080962.8109197197</c:v>
                </c:pt>
                <c:pt idx="73">
                  <c:v>1087268.4273167513</c:v>
                </c:pt>
                <c:pt idx="74">
                  <c:v>1093610.826476099</c:v>
                </c:pt>
                <c:pt idx="75">
                  <c:v>1099990.2229638761</c:v>
                </c:pt>
                <c:pt idx="76">
                  <c:v>1106406.8325978331</c:v>
                </c:pt>
                <c:pt idx="77">
                  <c:v>1112860.8724546535</c:v>
                </c:pt>
                <c:pt idx="78">
                  <c:v>1119352.5608773055</c:v>
                </c:pt>
                <c:pt idx="79">
                  <c:v>1125882.1174824229</c:v>
                </c:pt>
                <c:pt idx="80">
                  <c:v>1132449.7631677371</c:v>
                </c:pt>
                <c:pt idx="81">
                  <c:v>1139055.720119549</c:v>
                </c:pt>
                <c:pt idx="82">
                  <c:v>1145700.2118202467</c:v>
                </c:pt>
                <c:pt idx="83">
                  <c:v>1152383.4630558649</c:v>
                </c:pt>
                <c:pt idx="84">
                  <c:v>1159105.6999236904</c:v>
                </c:pt>
                <c:pt idx="85">
                  <c:v>1165867.1498399116</c:v>
                </c:pt>
                <c:pt idx="86">
                  <c:v>1172668.0415473115</c:v>
                </c:pt>
                <c:pt idx="87">
                  <c:v>1179508.6051230039</c:v>
                </c:pt>
                <c:pt idx="88">
                  <c:v>1186389.0719862217</c:v>
                </c:pt>
                <c:pt idx="89">
                  <c:v>1193309.6749061411</c:v>
                </c:pt>
                <c:pt idx="90">
                  <c:v>1200270.6480097603</c:v>
                </c:pt>
                <c:pt idx="91">
                  <c:v>1207272.2267898172</c:v>
                </c:pt>
                <c:pt idx="92">
                  <c:v>1214314.6481127581</c:v>
                </c:pt>
                <c:pt idx="93">
                  <c:v>1221398.1502267495</c:v>
                </c:pt>
                <c:pt idx="94">
                  <c:v>1228522.9727697382</c:v>
                </c:pt>
                <c:pt idx="95">
                  <c:v>1235689.3567775618</c:v>
                </c:pt>
                <c:pt idx="96">
                  <c:v>1242897.5446920972</c:v>
                </c:pt>
                <c:pt idx="97">
                  <c:v>1250147.780369468</c:v>
                </c:pt>
                <c:pt idx="98">
                  <c:v>1257440.3090882897</c:v>
                </c:pt>
                <c:pt idx="99">
                  <c:v>1264775.3775579715</c:v>
                </c:pt>
                <c:pt idx="100">
                  <c:v>1272153.2339270599</c:v>
                </c:pt>
                <c:pt idx="101">
                  <c:v>1279574.1277916338</c:v>
                </c:pt>
                <c:pt idx="102">
                  <c:v>1287038.3102037515</c:v>
                </c:pt>
                <c:pt idx="103">
                  <c:v>1294546.0336799407</c:v>
                </c:pt>
                <c:pt idx="104">
                  <c:v>1302097.5522097405</c:v>
                </c:pt>
                <c:pt idx="105">
                  <c:v>1309693.1212642966</c:v>
                </c:pt>
                <c:pt idx="106">
                  <c:v>1317332.9978050059</c:v>
                </c:pt>
                <c:pt idx="107">
                  <c:v>1325017.440292201</c:v>
                </c:pt>
                <c:pt idx="108">
                  <c:v>1332746.7086939057</c:v>
                </c:pt>
                <c:pt idx="109">
                  <c:v>1340521.0644946201</c:v>
                </c:pt>
                <c:pt idx="110">
                  <c:v>1348340.7707041726</c:v>
                </c:pt>
                <c:pt idx="111">
                  <c:v>1356206.0918666134</c:v>
                </c:pt>
                <c:pt idx="112">
                  <c:v>1364117.2940691682</c:v>
                </c:pt>
                <c:pt idx="113">
                  <c:v>1372074.6449512383</c:v>
                </c:pt>
                <c:pt idx="114">
                  <c:v>1380078.4137134543</c:v>
                </c:pt>
                <c:pt idx="115">
                  <c:v>1388128.8711267821</c:v>
                </c:pt>
                <c:pt idx="116">
                  <c:v>1396226.2895416887</c:v>
                </c:pt>
                <c:pt idx="117">
                  <c:v>1404370.9428973487</c:v>
                </c:pt>
                <c:pt idx="118">
                  <c:v>1412563.1067309165</c:v>
                </c:pt>
                <c:pt idx="119">
                  <c:v>1420803.0581868468</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extLst>
            <c:ext xmlns:c16="http://schemas.microsoft.com/office/drawing/2014/chart" uri="{C3380CC4-5D6E-409C-BE32-E72D297353CC}">
              <c16:uniqueId val="{00000001-D423-459C-BF9E-DE0E02391494}"/>
            </c:ext>
          </c:extLst>
        </c:ser>
        <c:dLbls>
          <c:showLegendKey val="0"/>
          <c:showVal val="0"/>
          <c:showCatName val="0"/>
          <c:showSerName val="0"/>
          <c:showPercent val="0"/>
          <c:showBubbleSize val="0"/>
        </c:dLbls>
        <c:gapWidth val="150"/>
        <c:overlap val="100"/>
        <c:axId val="477744224"/>
        <c:axId val="477743240"/>
      </c:barChart>
      <c:lineChart>
        <c:grouping val="standard"/>
        <c:varyColors val="0"/>
        <c:ser>
          <c:idx val="2"/>
          <c:order val="2"/>
          <c:tx>
            <c:v>Principal Bal.</c:v>
          </c:tx>
          <c:spPr>
            <a:ln w="44450" cap="rnd">
              <a:solidFill>
                <a:schemeClr val="bg1">
                  <a:lumMod val="50000"/>
                </a:schemeClr>
              </a:solidFill>
              <a:prstDash val="dash"/>
              <a:round/>
            </a:ln>
            <a:effectLst/>
          </c:spPr>
          <c:marker>
            <c:symbol val="none"/>
          </c:marker>
          <c:val>
            <c:numRef>
              <c:f>'Loan Amortization'!$I$27:$I$386</c:f>
              <c:numCache>
                <c:formatCode>#,##0</c:formatCode>
                <c:ptCount val="360"/>
                <c:pt idx="0">
                  <c:v>1069604922.0076392</c:v>
                </c:pt>
                <c:pt idx="1">
                  <c:v>1069604922.0076392</c:v>
                </c:pt>
                <c:pt idx="2">
                  <c:v>1069604922.0076392</c:v>
                </c:pt>
                <c:pt idx="3">
                  <c:v>1069604922.0076392</c:v>
                </c:pt>
                <c:pt idx="4">
                  <c:v>1069604922.0076392</c:v>
                </c:pt>
                <c:pt idx="5">
                  <c:v>1069604922.0076392</c:v>
                </c:pt>
                <c:pt idx="6">
                  <c:v>1069604922.0076392</c:v>
                </c:pt>
                <c:pt idx="7">
                  <c:v>1069604922.0076392</c:v>
                </c:pt>
                <c:pt idx="8">
                  <c:v>1069604922.0076392</c:v>
                </c:pt>
                <c:pt idx="9">
                  <c:v>1069604922.0076392</c:v>
                </c:pt>
                <c:pt idx="10">
                  <c:v>1069604922.0076392</c:v>
                </c:pt>
                <c:pt idx="11">
                  <c:v>1069604922.0076392</c:v>
                </c:pt>
                <c:pt idx="12">
                  <c:v>1069604922.0076392</c:v>
                </c:pt>
                <c:pt idx="13">
                  <c:v>1069604922.0076392</c:v>
                </c:pt>
                <c:pt idx="14">
                  <c:v>1069604922.0076392</c:v>
                </c:pt>
                <c:pt idx="15">
                  <c:v>1069604922.0076392</c:v>
                </c:pt>
                <c:pt idx="16">
                  <c:v>1069604922.0076392</c:v>
                </c:pt>
                <c:pt idx="17">
                  <c:v>1069604922.0076392</c:v>
                </c:pt>
                <c:pt idx="18">
                  <c:v>1069604922.0076392</c:v>
                </c:pt>
                <c:pt idx="19">
                  <c:v>1069604922.0076392</c:v>
                </c:pt>
                <c:pt idx="20">
                  <c:v>1069604922.0076392</c:v>
                </c:pt>
                <c:pt idx="21">
                  <c:v>1069604922.0076392</c:v>
                </c:pt>
                <c:pt idx="22">
                  <c:v>1069604922.0076392</c:v>
                </c:pt>
                <c:pt idx="23">
                  <c:v>1069604922.0076392</c:v>
                </c:pt>
                <c:pt idx="24">
                  <c:v>1069604922.0076392</c:v>
                </c:pt>
                <c:pt idx="25">
                  <c:v>1069604922.0076392</c:v>
                </c:pt>
                <c:pt idx="26">
                  <c:v>1069604922.0076392</c:v>
                </c:pt>
                <c:pt idx="27">
                  <c:v>1069604922.0076392</c:v>
                </c:pt>
                <c:pt idx="28">
                  <c:v>1069604922.0076392</c:v>
                </c:pt>
                <c:pt idx="29">
                  <c:v>1069604922.0076392</c:v>
                </c:pt>
                <c:pt idx="30">
                  <c:v>1069604922.0076392</c:v>
                </c:pt>
                <c:pt idx="31">
                  <c:v>1069604922.0076392</c:v>
                </c:pt>
                <c:pt idx="32">
                  <c:v>1069604922.0076392</c:v>
                </c:pt>
                <c:pt idx="33">
                  <c:v>1069604922.0076392</c:v>
                </c:pt>
                <c:pt idx="34">
                  <c:v>1069604922.0076392</c:v>
                </c:pt>
                <c:pt idx="35">
                  <c:v>1069604922.0076392</c:v>
                </c:pt>
                <c:pt idx="36">
                  <c:v>1068728175.8180076</c:v>
                </c:pt>
                <c:pt idx="37">
                  <c:v>1067846315.2756032</c:v>
                </c:pt>
                <c:pt idx="38">
                  <c:v>1066959310.5467013</c:v>
                </c:pt>
                <c:pt idx="39">
                  <c:v>1066067131.6235476</c:v>
                </c:pt>
                <c:pt idx="40">
                  <c:v>1065169748.3233421</c:v>
                </c:pt>
                <c:pt idx="41">
                  <c:v>1064267130.2872187</c:v>
                </c:pt>
                <c:pt idx="42">
                  <c:v>1063359246.979218</c:v>
                </c:pt>
                <c:pt idx="43">
                  <c:v>1062446067.685254</c:v>
                </c:pt>
                <c:pt idx="44">
                  <c:v>1061527561.5120751</c:v>
                </c:pt>
                <c:pt idx="45">
                  <c:v>1060603697.3862194</c:v>
                </c:pt>
                <c:pt idx="46">
                  <c:v>1059674444.0529628</c:v>
                </c:pt>
                <c:pt idx="47">
                  <c:v>1058739770.0752622</c:v>
                </c:pt>
                <c:pt idx="48">
                  <c:v>1057799643.8326917</c:v>
                </c:pt>
                <c:pt idx="49">
                  <c:v>1056854033.5203729</c:v>
                </c:pt>
                <c:pt idx="50">
                  <c:v>1055902907.1478989</c:v>
                </c:pt>
                <c:pt idx="51">
                  <c:v>1054946232.5382521</c:v>
                </c:pt>
                <c:pt idx="52">
                  <c:v>1053983977.3267157</c:v>
                </c:pt>
                <c:pt idx="53">
                  <c:v>1053016108.9597787</c:v>
                </c:pt>
                <c:pt idx="54">
                  <c:v>1052042594.6940346</c:v>
                </c:pt>
                <c:pt idx="55">
                  <c:v>1051063401.5950736</c:v>
                </c:pt>
                <c:pt idx="56">
                  <c:v>1050078496.5363686</c:v>
                </c:pt>
                <c:pt idx="57">
                  <c:v>1049087846.1981546</c:v>
                </c:pt>
                <c:pt idx="58">
                  <c:v>1048091417.066301</c:v>
                </c:pt>
                <c:pt idx="59">
                  <c:v>1047089175.4311782</c:v>
                </c:pt>
                <c:pt idx="60">
                  <c:v>1046081087.3865173</c:v>
                </c:pt>
                <c:pt idx="61">
                  <c:v>1045067118.8282624</c:v>
                </c:pt>
                <c:pt idx="62">
                  <c:v>1044047235.4534178</c:v>
                </c:pt>
                <c:pt idx="63">
                  <c:v>1043021402.7588866</c:v>
                </c:pt>
                <c:pt idx="64">
                  <c:v>1041989586.0403039</c:v>
                </c:pt>
                <c:pt idx="65">
                  <c:v>1040951750.3908628</c:v>
                </c:pt>
                <c:pt idx="66">
                  <c:v>1039907860.7001333</c:v>
                </c:pt>
                <c:pt idx="67">
                  <c:v>1038857881.6528746</c:v>
                </c:pt>
                <c:pt idx="68">
                  <c:v>1037801777.7278402</c:v>
                </c:pt>
                <c:pt idx="69">
                  <c:v>1036739513.1965764</c:v>
                </c:pt>
                <c:pt idx="70">
                  <c:v>1035671052.1222135</c:v>
                </c:pt>
                <c:pt idx="71">
                  <c:v>1034596358.3582503</c:v>
                </c:pt>
                <c:pt idx="72">
                  <c:v>1033515395.5473305</c:v>
                </c:pt>
                <c:pt idx="73">
                  <c:v>1032428127.1200137</c:v>
                </c:pt>
                <c:pt idx="74">
                  <c:v>1031334516.2935376</c:v>
                </c:pt>
                <c:pt idx="75">
                  <c:v>1030234526.0705737</c:v>
                </c:pt>
                <c:pt idx="76">
                  <c:v>1029128119.2379758</c:v>
                </c:pt>
                <c:pt idx="77">
                  <c:v>1028015258.3655212</c:v>
                </c:pt>
                <c:pt idx="78">
                  <c:v>1026895905.8046439</c:v>
                </c:pt>
                <c:pt idx="79">
                  <c:v>1025770023.6871614</c:v>
                </c:pt>
                <c:pt idx="80">
                  <c:v>1024637573.9239937</c:v>
                </c:pt>
                <c:pt idx="81">
                  <c:v>1023498518.2038741</c:v>
                </c:pt>
                <c:pt idx="82">
                  <c:v>1022352817.9920539</c:v>
                </c:pt>
                <c:pt idx="83">
                  <c:v>1021200434.528998</c:v>
                </c:pt>
                <c:pt idx="84">
                  <c:v>1020041328.8290744</c:v>
                </c:pt>
                <c:pt idx="85">
                  <c:v>1018875461.6792345</c:v>
                </c:pt>
                <c:pt idx="86">
                  <c:v>1017702793.6376872</c:v>
                </c:pt>
                <c:pt idx="87">
                  <c:v>1016523285.0325642</c:v>
                </c:pt>
                <c:pt idx="88">
                  <c:v>1015336895.960578</c:v>
                </c:pt>
                <c:pt idx="89">
                  <c:v>1014143586.2856718</c:v>
                </c:pt>
                <c:pt idx="90">
                  <c:v>1012943315.6376621</c:v>
                </c:pt>
                <c:pt idx="91">
                  <c:v>1011736043.4108722</c:v>
                </c:pt>
                <c:pt idx="92">
                  <c:v>1010521728.7627594</c:v>
                </c:pt>
                <c:pt idx="93">
                  <c:v>1009300330.6125327</c:v>
                </c:pt>
                <c:pt idx="94">
                  <c:v>1008071807.639763</c:v>
                </c:pt>
                <c:pt idx="95">
                  <c:v>1006836118.2829854</c:v>
                </c:pt>
                <c:pt idx="96">
                  <c:v>1005593220.7382934</c:v>
                </c:pt>
                <c:pt idx="97">
                  <c:v>1004343072.9579239</c:v>
                </c:pt>
                <c:pt idx="98">
                  <c:v>1003085632.6488357</c:v>
                </c:pt>
                <c:pt idx="99">
                  <c:v>1001820857.2712777</c:v>
                </c:pt>
                <c:pt idx="100">
                  <c:v>1000548704.0373507</c:v>
                </c:pt>
                <c:pt idx="101">
                  <c:v>999269129.90955901</c:v>
                </c:pt>
                <c:pt idx="102">
                  <c:v>997982091.59935522</c:v>
                </c:pt>
                <c:pt idx="103">
                  <c:v>996687545.56567526</c:v>
                </c:pt>
                <c:pt idx="104">
                  <c:v>995385448.01346552</c:v>
                </c:pt>
                <c:pt idx="105">
                  <c:v>994075754.89220119</c:v>
                </c:pt>
                <c:pt idx="106">
                  <c:v>992758421.89439619</c:v>
                </c:pt>
                <c:pt idx="107">
                  <c:v>991433404.45410395</c:v>
                </c:pt>
                <c:pt idx="108">
                  <c:v>990100657.74541008</c:v>
                </c:pt>
                <c:pt idx="109">
                  <c:v>988760136.68091547</c:v>
                </c:pt>
                <c:pt idx="110">
                  <c:v>987411795.91021132</c:v>
                </c:pt>
                <c:pt idx="111">
                  <c:v>986055589.81834471</c:v>
                </c:pt>
                <c:pt idx="112">
                  <c:v>984691472.52427554</c:v>
                </c:pt>
                <c:pt idx="113">
                  <c:v>983319397.87932432</c:v>
                </c:pt>
                <c:pt idx="114">
                  <c:v>981939319.46561086</c:v>
                </c:pt>
                <c:pt idx="115">
                  <c:v>980551190.59448409</c:v>
                </c:pt>
                <c:pt idx="116">
                  <c:v>979154964.30494237</c:v>
                </c:pt>
                <c:pt idx="117">
                  <c:v>977750593.36204505</c:v>
                </c:pt>
                <c:pt idx="118">
                  <c:v>976338030.25531411</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2-D423-459C-BF9E-DE0E02391494}"/>
            </c:ext>
          </c:extLst>
        </c:ser>
        <c:dLbls>
          <c:showLegendKey val="0"/>
          <c:showVal val="0"/>
          <c:showCatName val="0"/>
          <c:showSerName val="0"/>
          <c:showPercent val="0"/>
          <c:showBubbleSize val="0"/>
        </c:dLbls>
        <c:marker val="1"/>
        <c:smooth val="0"/>
        <c:axId val="691126920"/>
        <c:axId val="691119376"/>
      </c:lineChart>
      <c:catAx>
        <c:axId val="47774422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743240"/>
        <c:crosses val="autoZero"/>
        <c:auto val="0"/>
        <c:lblAlgn val="ctr"/>
        <c:lblOffset val="100"/>
        <c:noMultiLvlLbl val="0"/>
      </c:catAx>
      <c:valAx>
        <c:axId val="477743240"/>
        <c:scaling>
          <c:orientation val="minMax"/>
        </c:scaling>
        <c:delete val="0"/>
        <c:axPos val="l"/>
        <c:majorGridlines>
          <c:spPr>
            <a:ln w="9525" cap="flat" cmpd="sng" algn="ctr">
              <a:solidFill>
                <a:schemeClr val="tx1">
                  <a:lumMod val="15000"/>
                  <a:lumOff val="85000"/>
                </a:schemeClr>
              </a:solidFill>
              <a:round/>
            </a:ln>
            <a:effectLst/>
          </c:spPr>
        </c:majorGridlines>
        <c:numFmt formatCode="_(#,##0_)_%;\(#,##0\)_%;_(&quot;–&quot;_)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744224"/>
        <c:crosses val="autoZero"/>
        <c:crossBetween val="between"/>
      </c:valAx>
      <c:valAx>
        <c:axId val="691119376"/>
        <c:scaling>
          <c:orientation val="minMax"/>
          <c:max val="10000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26920"/>
        <c:crosses val="max"/>
        <c:crossBetween val="between"/>
      </c:valAx>
      <c:catAx>
        <c:axId val="691126920"/>
        <c:scaling>
          <c:orientation val="minMax"/>
        </c:scaling>
        <c:delete val="1"/>
        <c:axPos val="b"/>
        <c:majorTickMark val="out"/>
        <c:minorTickMark val="none"/>
        <c:tickLblPos val="nextTo"/>
        <c:crossAx val="691119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15</xdr:row>
      <xdr:rowOff>0</xdr:rowOff>
    </xdr:from>
    <xdr:to>
      <xdr:col>14</xdr:col>
      <xdr:colOff>263944</xdr:colOff>
      <xdr:row>18</xdr:row>
      <xdr:rowOff>57182</xdr:rowOff>
    </xdr:to>
    <xdr:pic>
      <xdr:nvPicPr>
        <xdr:cNvPr id="2" name="Picture 1">
          <a:extLst>
            <a:ext uri="{FF2B5EF4-FFF2-40B4-BE49-F238E27FC236}">
              <a16:creationId xmlns:a16="http://schemas.microsoft.com/office/drawing/2014/main" id="{1E4E6622-AD61-9E09-5475-6F10CD1D7B2D}"/>
            </a:ext>
          </a:extLst>
        </xdr:cNvPr>
        <xdr:cNvPicPr>
          <a:picLocks noChangeAspect="1"/>
        </xdr:cNvPicPr>
      </xdr:nvPicPr>
      <xdr:blipFill>
        <a:blip xmlns:r="http://schemas.openxmlformats.org/officeDocument/2006/relationships" r:embed="rId1"/>
        <a:stretch>
          <a:fillRect/>
        </a:stretch>
      </xdr:blipFill>
      <xdr:spPr>
        <a:xfrm>
          <a:off x="314325" y="2857500"/>
          <a:ext cx="8160169" cy="628682"/>
        </a:xfrm>
        <a:prstGeom prst="rect">
          <a:avLst/>
        </a:prstGeom>
        <a:ln w="12700">
          <a:solidFill>
            <a:schemeClr val="tx1"/>
          </a:solidFill>
        </a:ln>
      </xdr:spPr>
    </xdr:pic>
    <xdr:clientData/>
  </xdr:twoCellAnchor>
  <xdr:twoCellAnchor editAs="oneCell">
    <xdr:from>
      <xdr:col>1</xdr:col>
      <xdr:colOff>0</xdr:colOff>
      <xdr:row>20</xdr:row>
      <xdr:rowOff>9525</xdr:rowOff>
    </xdr:from>
    <xdr:to>
      <xdr:col>7</xdr:col>
      <xdr:colOff>562192</xdr:colOff>
      <xdr:row>27</xdr:row>
      <xdr:rowOff>34995</xdr:rowOff>
    </xdr:to>
    <xdr:pic>
      <xdr:nvPicPr>
        <xdr:cNvPr id="3" name="Picture 2" descr="A screenshot of a computer&#10;&#10;Description automatically generated">
          <a:extLst>
            <a:ext uri="{FF2B5EF4-FFF2-40B4-BE49-F238E27FC236}">
              <a16:creationId xmlns:a16="http://schemas.microsoft.com/office/drawing/2014/main" id="{653FA3BF-F90F-94A7-18E9-AF0BA786E52D}"/>
            </a:ext>
          </a:extLst>
        </xdr:cNvPr>
        <xdr:cNvPicPr>
          <a:picLocks noChangeAspect="1"/>
        </xdr:cNvPicPr>
      </xdr:nvPicPr>
      <xdr:blipFill>
        <a:blip xmlns:r="http://schemas.openxmlformats.org/officeDocument/2006/relationships" r:embed="rId2"/>
        <a:stretch>
          <a:fillRect/>
        </a:stretch>
      </xdr:blipFill>
      <xdr:spPr>
        <a:xfrm>
          <a:off x="285750" y="4772025"/>
          <a:ext cx="4216617" cy="1358970"/>
        </a:xfrm>
        <a:prstGeom prst="rect">
          <a:avLst/>
        </a:prstGeom>
        <a:ln w="12700">
          <a:solidFill>
            <a:schemeClr val="tx1"/>
          </a:solidFill>
        </a:ln>
      </xdr:spPr>
    </xdr:pic>
    <xdr:clientData/>
  </xdr:twoCellAnchor>
  <xdr:twoCellAnchor editAs="oneCell">
    <xdr:from>
      <xdr:col>1</xdr:col>
      <xdr:colOff>0</xdr:colOff>
      <xdr:row>29</xdr:row>
      <xdr:rowOff>38100</xdr:rowOff>
    </xdr:from>
    <xdr:to>
      <xdr:col>9</xdr:col>
      <xdr:colOff>266964</xdr:colOff>
      <xdr:row>56</xdr:row>
      <xdr:rowOff>47890</xdr:rowOff>
    </xdr:to>
    <xdr:pic>
      <xdr:nvPicPr>
        <xdr:cNvPr id="4" name="Picture 3" descr="A screenshot of a report&#10;&#10;Description automatically generated">
          <a:extLst>
            <a:ext uri="{FF2B5EF4-FFF2-40B4-BE49-F238E27FC236}">
              <a16:creationId xmlns:a16="http://schemas.microsoft.com/office/drawing/2014/main" id="{F96715D7-4997-BD04-FF64-0FACFA900946}"/>
            </a:ext>
          </a:extLst>
        </xdr:cNvPr>
        <xdr:cNvPicPr>
          <a:picLocks noChangeAspect="1"/>
        </xdr:cNvPicPr>
      </xdr:nvPicPr>
      <xdr:blipFill>
        <a:blip xmlns:r="http://schemas.openxmlformats.org/officeDocument/2006/relationships" r:embed="rId3"/>
        <a:stretch>
          <a:fillRect/>
        </a:stretch>
      </xdr:blipFill>
      <xdr:spPr>
        <a:xfrm>
          <a:off x="285750" y="6515100"/>
          <a:ext cx="5143764" cy="5156465"/>
        </a:xfrm>
        <a:prstGeom prst="rect">
          <a:avLst/>
        </a:prstGeom>
        <a:ln w="12700">
          <a:solidFill>
            <a:schemeClr val="tx1"/>
          </a:solidFill>
        </a:ln>
      </xdr:spPr>
    </xdr:pic>
    <xdr:clientData/>
  </xdr:twoCellAnchor>
  <xdr:twoCellAnchor>
    <xdr:from>
      <xdr:col>0</xdr:col>
      <xdr:colOff>95249</xdr:colOff>
      <xdr:row>3</xdr:row>
      <xdr:rowOff>28575</xdr:rowOff>
    </xdr:from>
    <xdr:to>
      <xdr:col>30</xdr:col>
      <xdr:colOff>333374</xdr:colOff>
      <xdr:row>8</xdr:row>
      <xdr:rowOff>142875</xdr:rowOff>
    </xdr:to>
    <xdr:sp macro="" textlink="">
      <xdr:nvSpPr>
        <xdr:cNvPr id="5" name="Rectangle 4">
          <a:extLst>
            <a:ext uri="{FF2B5EF4-FFF2-40B4-BE49-F238E27FC236}">
              <a16:creationId xmlns:a16="http://schemas.microsoft.com/office/drawing/2014/main" id="{75EDBDE8-6EED-5950-B959-653896FCEE2D}"/>
            </a:ext>
          </a:extLst>
        </xdr:cNvPr>
        <xdr:cNvSpPr/>
      </xdr:nvSpPr>
      <xdr:spPr>
        <a:xfrm>
          <a:off x="95249" y="819150"/>
          <a:ext cx="18202275" cy="1066800"/>
        </a:xfrm>
        <a:prstGeom prst="rect">
          <a:avLst/>
        </a:prstGeom>
        <a:solidFill>
          <a:srgbClr val="006698"/>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chemeClr val="bg1"/>
              </a:solidFill>
            </a:rPr>
            <a:t>ARGUS</a:t>
          </a:r>
          <a:r>
            <a:rPr lang="en-US" sz="1200" b="0" baseline="0">
              <a:solidFill>
                <a:schemeClr val="bg1"/>
              </a:solidFill>
            </a:rPr>
            <a:t> is an excellent tool for modeling complex items that are heavily dependent on circular references and timing, as well as for assumptions that usually do not change after we assign a value to them - think management fees charged on total rent (which included recovery income) for circular references, and think irregular rent escalations for timing. Assumptions that do not change during our valuation process would be global inflation assumptions. We should model items such as leases into ARGUS. </a:t>
          </a:r>
        </a:p>
        <a:p>
          <a:pPr algn="l"/>
          <a:endParaRPr lang="en-US" sz="1200" b="0" baseline="0">
            <a:solidFill>
              <a:schemeClr val="bg1"/>
            </a:solidFill>
          </a:endParaRPr>
        </a:p>
        <a:p>
          <a:pPr algn="l"/>
          <a:r>
            <a:rPr lang="en-US" sz="1200" b="0" baseline="0">
              <a:solidFill>
                <a:schemeClr val="bg1"/>
              </a:solidFill>
            </a:rPr>
            <a:t>Excel is needed to layer in more dynamic assumptions. Financing assumptions can change quickly, and having the ability to change those assumptions in excel, "on the fly", allows us to be more efficient with our time. We also want to run multiple scenerios and using excel to toggle values makes the platform quick to update.</a:t>
          </a:r>
        </a:p>
        <a:p>
          <a:pPr algn="l"/>
          <a:endParaRPr lang="en-US" sz="1200" b="0">
            <a:solidFill>
              <a:schemeClr val="bg1"/>
            </a:solidFill>
          </a:endParaRPr>
        </a:p>
      </xdr:txBody>
    </xdr:sp>
    <xdr:clientData/>
  </xdr:twoCellAnchor>
  <xdr:twoCellAnchor editAs="oneCell">
    <xdr:from>
      <xdr:col>1</xdr:col>
      <xdr:colOff>0</xdr:colOff>
      <xdr:row>58</xdr:row>
      <xdr:rowOff>38100</xdr:rowOff>
    </xdr:from>
    <xdr:to>
      <xdr:col>7</xdr:col>
      <xdr:colOff>162121</xdr:colOff>
      <xdr:row>68</xdr:row>
      <xdr:rowOff>114402</xdr:rowOff>
    </xdr:to>
    <xdr:pic>
      <xdr:nvPicPr>
        <xdr:cNvPr id="6" name="Picture 5" descr="A screenshot of a computer&#10;&#10;Description automatically generated">
          <a:extLst>
            <a:ext uri="{FF2B5EF4-FFF2-40B4-BE49-F238E27FC236}">
              <a16:creationId xmlns:a16="http://schemas.microsoft.com/office/drawing/2014/main" id="{1C08418A-A4BA-DE64-D1EF-1ADBBB529A57}"/>
            </a:ext>
          </a:extLst>
        </xdr:cNvPr>
        <xdr:cNvPicPr>
          <a:picLocks noChangeAspect="1"/>
        </xdr:cNvPicPr>
      </xdr:nvPicPr>
      <xdr:blipFill>
        <a:blip xmlns:r="http://schemas.openxmlformats.org/officeDocument/2006/relationships" r:embed="rId4"/>
        <a:stretch>
          <a:fillRect/>
        </a:stretch>
      </xdr:blipFill>
      <xdr:spPr>
        <a:xfrm>
          <a:off x="291353" y="11311218"/>
          <a:ext cx="3792827" cy="1981302"/>
        </a:xfrm>
        <a:prstGeom prst="rect">
          <a:avLst/>
        </a:prstGeom>
        <a:ln w="12700">
          <a:solidFill>
            <a:schemeClr val="tx1"/>
          </a:solidFill>
        </a:ln>
      </xdr:spPr>
    </xdr:pic>
    <xdr:clientData/>
  </xdr:twoCellAnchor>
  <xdr:twoCellAnchor>
    <xdr:from>
      <xdr:col>16</xdr:col>
      <xdr:colOff>238125</xdr:colOff>
      <xdr:row>15</xdr:row>
      <xdr:rowOff>38100</xdr:rowOff>
    </xdr:from>
    <xdr:to>
      <xdr:col>30</xdr:col>
      <xdr:colOff>104775</xdr:colOff>
      <xdr:row>56</xdr:row>
      <xdr:rowOff>76200</xdr:rowOff>
    </xdr:to>
    <xdr:sp macro="" textlink="">
      <xdr:nvSpPr>
        <xdr:cNvPr id="7" name="Rectangle 6">
          <a:extLst>
            <a:ext uri="{FF2B5EF4-FFF2-40B4-BE49-F238E27FC236}">
              <a16:creationId xmlns:a16="http://schemas.microsoft.com/office/drawing/2014/main" id="{0D5DC047-92A0-4865-8F22-9E91E449F950}"/>
            </a:ext>
          </a:extLst>
        </xdr:cNvPr>
        <xdr:cNvSpPr/>
      </xdr:nvSpPr>
      <xdr:spPr>
        <a:xfrm>
          <a:off x="9606243" y="3119718"/>
          <a:ext cx="8338297" cy="7848600"/>
        </a:xfrm>
        <a:prstGeom prst="rect">
          <a:avLst/>
        </a:prstGeom>
        <a:solidFill>
          <a:srgbClr val="006698"/>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solidFill>
                <a:schemeClr val="lt1"/>
              </a:solidFill>
              <a:effectLst/>
              <a:latin typeface="+mn-lt"/>
              <a:ea typeface="+mn-ea"/>
              <a:cs typeface="+mn-cs"/>
            </a:rPr>
            <a:t>PROPERTY</a:t>
          </a:r>
          <a:r>
            <a:rPr lang="en-US" sz="1800" b="1" baseline="0">
              <a:solidFill>
                <a:schemeClr val="lt1"/>
              </a:solidFill>
              <a:effectLst/>
              <a:latin typeface="+mn-lt"/>
              <a:ea typeface="+mn-ea"/>
              <a:cs typeface="+mn-cs"/>
            </a:rPr>
            <a:t> </a:t>
          </a:r>
          <a:r>
            <a:rPr lang="en-US" sz="1800" b="1">
              <a:solidFill>
                <a:schemeClr val="lt1"/>
              </a:solidFill>
              <a:effectLst/>
              <a:latin typeface="+mn-lt"/>
              <a:ea typeface="+mn-ea"/>
              <a:cs typeface="+mn-cs"/>
            </a:rPr>
            <a:t>SUMMARY</a:t>
          </a:r>
          <a:endParaRPr lang="en-US" sz="1800">
            <a:effectLst/>
          </a:endParaRPr>
        </a:p>
        <a:p>
          <a:r>
            <a:rPr lang="en-US" sz="1100" b="0" i="0">
              <a:solidFill>
                <a:schemeClr val="lt1"/>
              </a:solidFill>
              <a:effectLst/>
              <a:latin typeface="+mn-lt"/>
              <a:ea typeface="+mn-ea"/>
              <a:cs typeface="+mn-cs"/>
            </a:rPr>
            <a:t>This</a:t>
          </a:r>
          <a:r>
            <a:rPr lang="en-US" sz="1100" b="0" i="0" baseline="0">
              <a:solidFill>
                <a:schemeClr val="lt1"/>
              </a:solidFill>
              <a:effectLst/>
              <a:latin typeface="+mn-lt"/>
              <a:ea typeface="+mn-ea"/>
              <a:cs typeface="+mn-cs"/>
            </a:rPr>
            <a:t> tab consolidates the Observatory and the Building into a single value -  there are some master inputs (blue font) that you can toggle to change the value. </a:t>
          </a:r>
        </a:p>
        <a:p>
          <a:endParaRPr lang="en-US" sz="1800" b="1">
            <a:solidFill>
              <a:schemeClr val="lt1"/>
            </a:solidFill>
            <a:effectLst/>
            <a:latin typeface="+mn-lt"/>
            <a:ea typeface="+mn-ea"/>
            <a:cs typeface="+mn-cs"/>
          </a:endParaRPr>
        </a:p>
        <a:p>
          <a:r>
            <a:rPr lang="en-US" sz="1800" b="1">
              <a:solidFill>
                <a:schemeClr val="lt1"/>
              </a:solidFill>
              <a:effectLst/>
              <a:latin typeface="+mn-lt"/>
              <a:ea typeface="+mn-ea"/>
              <a:cs typeface="+mn-cs"/>
            </a:rPr>
            <a:t>OBSERVATORY</a:t>
          </a:r>
          <a:r>
            <a:rPr lang="en-US" sz="1800" b="1" baseline="0">
              <a:solidFill>
                <a:schemeClr val="lt1"/>
              </a:solidFill>
              <a:effectLst/>
              <a:latin typeface="+mn-lt"/>
              <a:ea typeface="+mn-ea"/>
              <a:cs typeface="+mn-cs"/>
            </a:rPr>
            <a:t> ANALYSIS</a:t>
          </a:r>
          <a:endParaRPr lang="en-US" sz="1800">
            <a:effectLst/>
          </a:endParaRPr>
        </a:p>
        <a:p>
          <a:r>
            <a:rPr lang="en-US" sz="1100" b="0" i="0">
              <a:solidFill>
                <a:schemeClr val="lt1"/>
              </a:solidFill>
              <a:effectLst/>
              <a:latin typeface="+mn-lt"/>
              <a:ea typeface="+mn-ea"/>
              <a:cs typeface="+mn-cs"/>
            </a:rPr>
            <a:t>This</a:t>
          </a:r>
          <a:r>
            <a:rPr lang="en-US" sz="1100" b="0" i="0" baseline="0">
              <a:solidFill>
                <a:schemeClr val="lt1"/>
              </a:solidFill>
              <a:effectLst/>
              <a:latin typeface="+mn-lt"/>
              <a:ea typeface="+mn-ea"/>
              <a:cs typeface="+mn-cs"/>
            </a:rPr>
            <a:t> tab has the inputs for the </a:t>
          </a:r>
          <a:r>
            <a:rPr lang="en-US" sz="1100" b="0" i="0">
              <a:solidFill>
                <a:schemeClr val="lt1"/>
              </a:solidFill>
              <a:effectLst/>
              <a:latin typeface="+mn-lt"/>
              <a:ea typeface="+mn-ea"/>
              <a:cs typeface="+mn-cs"/>
            </a:rPr>
            <a:t>observation</a:t>
          </a:r>
          <a:r>
            <a:rPr lang="en-US" sz="1100" b="0" i="0" baseline="0">
              <a:solidFill>
                <a:schemeClr val="lt1"/>
              </a:solidFill>
              <a:effectLst/>
              <a:latin typeface="+mn-lt"/>
              <a:ea typeface="+mn-ea"/>
              <a:cs typeface="+mn-cs"/>
            </a:rPr>
            <a:t> deck</a:t>
          </a:r>
          <a:r>
            <a:rPr lang="en-US" sz="1100" b="0" i="0">
              <a:solidFill>
                <a:schemeClr val="lt1"/>
              </a:solidFill>
              <a:effectLst/>
              <a:latin typeface="+mn-lt"/>
              <a:ea typeface="+mn-ea"/>
              <a:cs typeface="+mn-cs"/>
            </a:rPr>
            <a:t>. </a:t>
          </a:r>
          <a:r>
            <a:rPr lang="en-US" sz="1100" b="0" i="0" baseline="0">
              <a:solidFill>
                <a:schemeClr val="lt1"/>
              </a:solidFill>
              <a:effectLst/>
              <a:latin typeface="+mn-lt"/>
              <a:ea typeface="+mn-ea"/>
              <a:cs typeface="+mn-cs"/>
            </a:rPr>
            <a:t>Since the observatory is fundamentally different than the long-term leases of the tenants, you want to run a different discount rate when valuing this part of the asset.</a:t>
          </a:r>
          <a:endParaRPr lang="en-US" sz="1800">
            <a:effectLst/>
          </a:endParaRPr>
        </a:p>
        <a:p>
          <a:pPr algn="l"/>
          <a:endParaRPr lang="en-US" sz="1800" b="1">
            <a:solidFill>
              <a:schemeClr val="bg1"/>
            </a:solidFill>
          </a:endParaRPr>
        </a:p>
        <a:p>
          <a:pPr algn="l"/>
          <a:r>
            <a:rPr lang="en-US" sz="1800" b="1">
              <a:solidFill>
                <a:schemeClr val="bg1"/>
              </a:solidFill>
            </a:rPr>
            <a:t>BUILDING</a:t>
          </a:r>
          <a:r>
            <a:rPr lang="en-US" sz="1800" b="1" baseline="0">
              <a:solidFill>
                <a:schemeClr val="bg1"/>
              </a:solidFill>
            </a:rPr>
            <a:t> ANALYSIS</a:t>
          </a:r>
        </a:p>
        <a:p>
          <a:pPr algn="l"/>
          <a:r>
            <a:rPr lang="en-US" sz="1100" b="0" i="0">
              <a:solidFill>
                <a:schemeClr val="lt1"/>
              </a:solidFill>
              <a:effectLst/>
              <a:latin typeface="+mn-lt"/>
              <a:ea typeface="+mn-ea"/>
              <a:cs typeface="+mn-cs"/>
            </a:rPr>
            <a:t>This tab values</a:t>
          </a:r>
          <a:r>
            <a:rPr lang="en-US" sz="1100" b="0" i="0" baseline="0">
              <a:solidFill>
                <a:schemeClr val="lt1"/>
              </a:solidFill>
              <a:effectLst/>
              <a:latin typeface="+mn-lt"/>
              <a:ea typeface="+mn-ea"/>
              <a:cs typeface="+mn-cs"/>
            </a:rPr>
            <a:t> only the building - it excludes the observatory deck.</a:t>
          </a:r>
          <a:endParaRPr lang="en-US" sz="1100" b="0" i="0">
            <a:solidFill>
              <a:schemeClr val="lt1"/>
            </a:solidFill>
            <a:effectLst/>
            <a:latin typeface="+mn-lt"/>
            <a:ea typeface="+mn-ea"/>
            <a:cs typeface="+mn-cs"/>
          </a:endParaRPr>
        </a:p>
        <a:p>
          <a:pPr algn="l"/>
          <a:endParaRPr lang="en-US" sz="1800" b="1" baseline="0">
            <a:solidFill>
              <a:schemeClr val="bg1"/>
            </a:solidFill>
          </a:endParaRPr>
        </a:p>
        <a:p>
          <a:pPr algn="l"/>
          <a:r>
            <a:rPr lang="en-US" sz="1800" b="1" baseline="0">
              <a:solidFill>
                <a:schemeClr val="bg1"/>
              </a:solidFill>
            </a:rPr>
            <a:t>ARGUS MLAS</a:t>
          </a:r>
        </a:p>
        <a:p>
          <a:pPr algn="l"/>
          <a:r>
            <a:rPr lang="en-US" sz="1200" b="0" baseline="0">
              <a:solidFill>
                <a:schemeClr val="bg1"/>
              </a:solidFill>
            </a:rPr>
            <a:t>The ARGUS assumptions is usually needed to show your MLAs, lease up  timing of any vacant suites, and global market assumptions such as inflation. These are input into the ARGUS software, but not always easy to identify in the Excel model - writing out theses assumptions makes it easier for capital partners to digest your numbers.</a:t>
          </a:r>
        </a:p>
        <a:p>
          <a:pPr algn="l"/>
          <a:endParaRPr lang="en-US" sz="1800" b="1" baseline="0">
            <a:solidFill>
              <a:schemeClr val="bg1"/>
            </a:solidFill>
          </a:endParaRPr>
        </a:p>
        <a:p>
          <a:pPr algn="l"/>
          <a:r>
            <a:rPr lang="en-US" sz="1800" b="1" baseline="0">
              <a:solidFill>
                <a:schemeClr val="bg1"/>
              </a:solidFill>
            </a:rPr>
            <a:t>PROFORMA</a:t>
          </a:r>
        </a:p>
        <a:p>
          <a:pPr algn="l"/>
          <a:r>
            <a:rPr lang="en-US" sz="1200" b="0" baseline="0">
              <a:solidFill>
                <a:schemeClr val="bg1"/>
              </a:solidFill>
            </a:rPr>
            <a:t>The leases you modeled in ARGUS, layered on global expense assumptions, formatted into a forward looking income statement. </a:t>
          </a:r>
        </a:p>
        <a:p>
          <a:pPr algn="l"/>
          <a:endParaRPr lang="en-US" sz="1800" b="1" baseline="0">
            <a:solidFill>
              <a:schemeClr val="bg1"/>
            </a:solidFill>
          </a:endParaRPr>
        </a:p>
        <a:p>
          <a:pPr algn="l"/>
          <a:r>
            <a:rPr lang="en-US" sz="1800" b="1" baseline="0">
              <a:solidFill>
                <a:schemeClr val="bg1"/>
              </a:solidFill>
            </a:rPr>
            <a:t>LOAN AMORTIZATION</a:t>
          </a:r>
        </a:p>
        <a:p>
          <a:pPr algn="l"/>
          <a:r>
            <a:rPr lang="en-US" sz="1200" b="0" baseline="0">
              <a:solidFill>
                <a:schemeClr val="bg1"/>
              </a:solidFill>
            </a:rPr>
            <a:t>Shows the financing calculations - initial balance, total payment, interest, principal, principal payoff, as well as timing.</a:t>
          </a:r>
        </a:p>
        <a:p>
          <a:pPr algn="l"/>
          <a:endParaRPr lang="en-US" sz="1800" b="1" baseline="0">
            <a:solidFill>
              <a:schemeClr val="bg1"/>
            </a:solidFill>
          </a:endParaRPr>
        </a:p>
        <a:p>
          <a:pPr algn="l"/>
          <a:r>
            <a:rPr lang="en-US" sz="1800" b="1" baseline="0">
              <a:solidFill>
                <a:schemeClr val="bg1"/>
              </a:solidFill>
            </a:rPr>
            <a:t>WATERFALL</a:t>
          </a:r>
        </a:p>
        <a:p>
          <a:pPr algn="l"/>
          <a:r>
            <a:rPr lang="en-US" sz="1200" b="0" baseline="0">
              <a:solidFill>
                <a:schemeClr val="bg1"/>
              </a:solidFill>
            </a:rPr>
            <a:t>Distributes the property level cashflows appropriately between the GP and LP</a:t>
          </a:r>
        </a:p>
        <a:p>
          <a:pPr algn="l"/>
          <a:endParaRPr lang="en-US" sz="1200" b="0" baseline="0">
            <a:solidFill>
              <a:schemeClr val="bg1"/>
            </a:solidFill>
          </a:endParaRPr>
        </a:p>
        <a:p>
          <a:pPr algn="l"/>
          <a:r>
            <a:rPr lang="en-US" sz="1800" b="1" baseline="0">
              <a:solidFill>
                <a:schemeClr val="bg1"/>
              </a:solidFill>
            </a:rPr>
            <a:t>PASTE ARGUS EXPORTS</a:t>
          </a:r>
        </a:p>
        <a:p>
          <a:pPr algn="l"/>
          <a:r>
            <a:rPr lang="en-US" sz="1200" b="0" baseline="0">
              <a:solidFill>
                <a:schemeClr val="bg1"/>
              </a:solidFill>
            </a:rPr>
            <a:t>Ignore - this tab directs users to the two tabs to the right</a:t>
          </a:r>
        </a:p>
        <a:p>
          <a:pPr algn="l"/>
          <a:endParaRPr lang="en-US" sz="1800" b="1" baseline="0">
            <a:solidFill>
              <a:schemeClr val="bg1"/>
            </a:solidFill>
          </a:endParaRPr>
        </a:p>
        <a:p>
          <a:pPr algn="l"/>
          <a:r>
            <a:rPr lang="en-US" sz="1800" b="1" baseline="0">
              <a:solidFill>
                <a:schemeClr val="bg1"/>
              </a:solidFill>
            </a:rPr>
            <a:t>ARGUS CASH FLOW DROP</a:t>
          </a:r>
        </a:p>
        <a:p>
          <a:pPr algn="l"/>
          <a:r>
            <a:rPr lang="en-US" sz="1200" b="0" baseline="0">
              <a:solidFill>
                <a:schemeClr val="bg1"/>
              </a:solidFill>
            </a:rPr>
            <a:t>Paste in your Annual ARGUS Cashflows in column B. Use the data validation selection to choose Other Income, normalized OpEx, and Occupancy. This allows the Proforma Tab to calculate correctly.</a:t>
          </a:r>
        </a:p>
        <a:p>
          <a:pPr algn="l"/>
          <a:endParaRPr lang="en-US" sz="1800" b="1" baseline="0">
            <a:solidFill>
              <a:schemeClr val="bg1"/>
            </a:solidFill>
          </a:endParaRPr>
        </a:p>
        <a:p>
          <a:pPr algn="l"/>
          <a:r>
            <a:rPr lang="en-US" sz="1800" b="1" baseline="0">
              <a:solidFill>
                <a:schemeClr val="bg1"/>
              </a:solidFill>
            </a:rPr>
            <a:t>RENT ROLL DROP</a:t>
          </a:r>
        </a:p>
        <a:p>
          <a:pPr algn="l"/>
          <a:r>
            <a:rPr lang="en-US" sz="1100" b="0" i="0" baseline="0">
              <a:solidFill>
                <a:schemeClr val="lt1"/>
              </a:solidFill>
              <a:effectLst/>
              <a:latin typeface="+mn-lt"/>
              <a:ea typeface="+mn-ea"/>
              <a:cs typeface="+mn-cs"/>
            </a:rPr>
            <a:t>All current tenants</a:t>
          </a:r>
          <a:endParaRPr lang="en-US" sz="1800" b="1" baseline="0">
            <a:solidFill>
              <a:schemeClr val="bg1"/>
            </a:solidFill>
          </a:endParaRPr>
        </a:p>
        <a:p>
          <a:pPr algn="l"/>
          <a:endParaRPr lang="en-US" sz="1800" b="1" baseline="0">
            <a:solidFill>
              <a:schemeClr val="bg1"/>
            </a:solidFill>
          </a:endParaRPr>
        </a:p>
        <a:p>
          <a:pPr algn="l"/>
          <a:r>
            <a:rPr lang="en-US" sz="1800" b="1" baseline="0">
              <a:solidFill>
                <a:schemeClr val="bg1"/>
              </a:solidFill>
            </a:rPr>
            <a:t>CONFIG</a:t>
          </a:r>
          <a:endParaRPr lang="en-US" sz="1100" b="0">
            <a:solidFill>
              <a:schemeClr val="bg1"/>
            </a:solidFill>
          </a:endParaRPr>
        </a:p>
        <a:p>
          <a:pPr algn="l"/>
          <a:r>
            <a:rPr lang="en-US" sz="1100" b="0">
              <a:solidFill>
                <a:schemeClr val="bg1"/>
              </a:solidFill>
            </a:rPr>
            <a:t>Do not touch - contains Data</a:t>
          </a:r>
          <a:r>
            <a:rPr lang="en-US" sz="1100" b="0" baseline="0">
              <a:solidFill>
                <a:schemeClr val="bg1"/>
              </a:solidFill>
            </a:rPr>
            <a:t> Validation for normalizing ARGUS expenses into a proforma.</a:t>
          </a:r>
          <a:endParaRPr lang="en-US" sz="1100" b="0">
            <a:solidFill>
              <a:schemeClr val="bg1"/>
            </a:solidFill>
          </a:endParaRPr>
        </a:p>
      </xdr:txBody>
    </xdr:sp>
    <xdr:clientData/>
  </xdr:twoCellAnchor>
  <xdr:twoCellAnchor editAs="oneCell">
    <xdr:from>
      <xdr:col>1</xdr:col>
      <xdr:colOff>307732</xdr:colOff>
      <xdr:row>67</xdr:row>
      <xdr:rowOff>124558</xdr:rowOff>
    </xdr:from>
    <xdr:to>
      <xdr:col>3</xdr:col>
      <xdr:colOff>344366</xdr:colOff>
      <xdr:row>68</xdr:row>
      <xdr:rowOff>95250</xdr:rowOff>
    </xdr:to>
    <xdr:pic>
      <xdr:nvPicPr>
        <xdr:cNvPr id="8" name="Picture 7">
          <a:extLst>
            <a:ext uri="{FF2B5EF4-FFF2-40B4-BE49-F238E27FC236}">
              <a16:creationId xmlns:a16="http://schemas.microsoft.com/office/drawing/2014/main" id="{33B68F00-26BC-F8CE-DF12-6B7FBC2261A6}"/>
            </a:ext>
          </a:extLst>
        </xdr:cNvPr>
        <xdr:cNvPicPr>
          <a:picLocks noChangeAspect="1"/>
        </xdr:cNvPicPr>
      </xdr:nvPicPr>
      <xdr:blipFill>
        <a:blip xmlns:r="http://schemas.openxmlformats.org/officeDocument/2006/relationships" r:embed="rId5"/>
        <a:stretch>
          <a:fillRect/>
        </a:stretch>
      </xdr:blipFill>
      <xdr:spPr>
        <a:xfrm>
          <a:off x="593482" y="13107866"/>
          <a:ext cx="1252903" cy="1611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25131</xdr:rowOff>
    </xdr:from>
    <xdr:to>
      <xdr:col>12</xdr:col>
      <xdr:colOff>830036</xdr:colOff>
      <xdr:row>39</xdr:row>
      <xdr:rowOff>22410</xdr:rowOff>
    </xdr:to>
    <xdr:graphicFrame macro="">
      <xdr:nvGraphicFramePr>
        <xdr:cNvPr id="2" name="Chart 1">
          <a:extLst>
            <a:ext uri="{FF2B5EF4-FFF2-40B4-BE49-F238E27FC236}">
              <a16:creationId xmlns:a16="http://schemas.microsoft.com/office/drawing/2014/main" id="{AB9E97DF-1F27-B4CD-EC4A-49849319B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676273</xdr:colOff>
      <xdr:row>0</xdr:row>
      <xdr:rowOff>185737</xdr:rowOff>
    </xdr:from>
    <xdr:to>
      <xdr:col>19</xdr:col>
      <xdr:colOff>28574</xdr:colOff>
      <xdr:row>22</xdr:row>
      <xdr:rowOff>28575</xdr:rowOff>
    </xdr:to>
    <xdr:graphicFrame macro="">
      <xdr:nvGraphicFramePr>
        <xdr:cNvPr id="2" name="Chart 1">
          <a:extLst>
            <a:ext uri="{FF2B5EF4-FFF2-40B4-BE49-F238E27FC236}">
              <a16:creationId xmlns:a16="http://schemas.microsoft.com/office/drawing/2014/main" id="{D1659CCA-C739-4BDB-934D-A4645EC66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DFE2E-E757-4DA6-885E-81273330E0DD}">
  <sheetPr>
    <tabColor rgb="FFFF0000"/>
  </sheetPr>
  <dimension ref="A1:N58"/>
  <sheetViews>
    <sheetView showGridLines="0" zoomScale="85" zoomScaleNormal="85" workbookViewId="0">
      <selection activeCell="A2" sqref="A2"/>
    </sheetView>
  </sheetViews>
  <sheetFormatPr defaultRowHeight="14.4" x14ac:dyDescent="0.3"/>
  <cols>
    <col min="1" max="1" width="4.33203125" customWidth="1"/>
  </cols>
  <sheetData>
    <row r="1" spans="1:2" s="172" customFormat="1" ht="32.4" x14ac:dyDescent="0.6">
      <c r="A1" s="172" t="s">
        <v>270</v>
      </c>
    </row>
    <row r="3" spans="1:2" x14ac:dyDescent="0.3">
      <c r="A3" s="171" t="s">
        <v>268</v>
      </c>
    </row>
    <row r="14" spans="1:2" x14ac:dyDescent="0.3">
      <c r="A14" s="171" t="s">
        <v>269</v>
      </c>
    </row>
    <row r="15" spans="1:2" x14ac:dyDescent="0.3">
      <c r="A15">
        <v>1</v>
      </c>
      <c r="B15" t="s">
        <v>273</v>
      </c>
    </row>
    <row r="20" spans="1:2" x14ac:dyDescent="0.3">
      <c r="A20">
        <v>2</v>
      </c>
      <c r="B20" t="s">
        <v>274</v>
      </c>
    </row>
    <row r="29" spans="1:2" x14ac:dyDescent="0.3">
      <c r="A29">
        <v>3</v>
      </c>
      <c r="B29" t="s">
        <v>275</v>
      </c>
    </row>
    <row r="40" spans="14:14" x14ac:dyDescent="0.3">
      <c r="N40" s="487"/>
    </row>
    <row r="41" spans="14:14" x14ac:dyDescent="0.3">
      <c r="N41" s="487"/>
    </row>
    <row r="58" spans="1:2" x14ac:dyDescent="0.3">
      <c r="A58">
        <v>4</v>
      </c>
      <c r="B58" t="s">
        <v>276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2446-98B4-457E-93E0-3A97F435B632}">
  <sheetPr>
    <tabColor rgb="FF00B050"/>
    <pageSetUpPr autoPageBreaks="0" fitToPage="1"/>
  </sheetPr>
  <dimension ref="A1:AC60"/>
  <sheetViews>
    <sheetView showGridLines="0" tabSelected="1" zoomScale="70" zoomScaleNormal="70" workbookViewId="0">
      <selection activeCell="M59" sqref="M59"/>
    </sheetView>
  </sheetViews>
  <sheetFormatPr defaultRowHeight="14.4" x14ac:dyDescent="0.3"/>
  <cols>
    <col min="1" max="1" width="33.88671875" bestFit="1" customWidth="1"/>
    <col min="2" max="2" width="20.6640625" customWidth="1"/>
    <col min="3" max="3" width="22.88671875" bestFit="1" customWidth="1"/>
    <col min="4" max="4" width="20.6640625" customWidth="1"/>
    <col min="5" max="5" width="20.5546875" customWidth="1"/>
    <col min="6" max="10" width="20.6640625" customWidth="1"/>
    <col min="11" max="11" width="26.6640625" bestFit="1" customWidth="1"/>
    <col min="12" max="13" width="20.6640625" customWidth="1"/>
    <col min="14" max="14" width="11.5546875" bestFit="1" customWidth="1"/>
    <col min="15" max="15" width="16.44140625" bestFit="1" customWidth="1"/>
    <col min="16" max="17" width="11.5546875" bestFit="1" customWidth="1"/>
    <col min="18" max="18" width="12.33203125" bestFit="1" customWidth="1"/>
    <col min="19" max="19" width="18.33203125" bestFit="1" customWidth="1"/>
    <col min="20" max="21" width="13.44140625" bestFit="1" customWidth="1"/>
    <col min="22" max="23" width="12.33203125" bestFit="1" customWidth="1"/>
    <col min="24" max="24" width="13.6640625" bestFit="1" customWidth="1"/>
    <col min="25" max="25" width="18.6640625" bestFit="1" customWidth="1"/>
    <col min="26" max="26" width="12.6640625" customWidth="1"/>
    <col min="27" max="30" width="13.44140625" bestFit="1" customWidth="1"/>
    <col min="31" max="31" width="13.5546875" bestFit="1" customWidth="1"/>
    <col min="33" max="34" width="13.44140625" bestFit="1" customWidth="1"/>
    <col min="35" max="35" width="13.5546875" bestFit="1" customWidth="1"/>
    <col min="36" max="36" width="13.44140625" bestFit="1" customWidth="1"/>
    <col min="37" max="37" width="13.5546875" bestFit="1" customWidth="1"/>
    <col min="38" max="38" width="13.44140625" bestFit="1" customWidth="1"/>
  </cols>
  <sheetData>
    <row r="1" spans="1:13" ht="15" thickBot="1" x14ac:dyDescent="0.35">
      <c r="D1" s="198"/>
    </row>
    <row r="2" spans="1:13" ht="15" thickBot="1" x14ac:dyDescent="0.35">
      <c r="A2" s="82" t="s">
        <v>175</v>
      </c>
      <c r="B2" s="305"/>
      <c r="C2" s="305"/>
      <c r="D2" s="306"/>
      <c r="F2" s="82" t="s">
        <v>258</v>
      </c>
      <c r="G2" s="305"/>
      <c r="H2" s="305"/>
      <c r="I2" s="306"/>
      <c r="K2" s="82" t="s">
        <v>176</v>
      </c>
      <c r="L2" s="305"/>
      <c r="M2" s="306"/>
    </row>
    <row r="3" spans="1:13" x14ac:dyDescent="0.3">
      <c r="A3" s="307" t="s">
        <v>156</v>
      </c>
      <c r="B3" s="381" t="s">
        <v>922</v>
      </c>
      <c r="C3" s="307" t="s">
        <v>148</v>
      </c>
      <c r="D3" s="376" t="s">
        <v>923</v>
      </c>
      <c r="F3" s="308" t="s">
        <v>230</v>
      </c>
      <c r="G3" s="127">
        <f>D6</f>
        <v>10</v>
      </c>
      <c r="H3" s="128"/>
      <c r="I3" s="129">
        <f>INDEX(Proforma!$E$4:$P$4,MATCH(G3,Proforma!$E$3:$P$3,0))</f>
        <v>48944</v>
      </c>
      <c r="K3" s="309" t="s">
        <v>158</v>
      </c>
      <c r="L3" s="105">
        <f>M3/$B$4</f>
        <v>688.22599865709105</v>
      </c>
      <c r="M3" s="100">
        <f>SUMIF($B$33:$M$33,"&gt;0",$B$33:$M$33)+SUMIF($B$33:$M$33,"&lt;0",$B$33:$M$33)</f>
        <v>1932928828.3703504</v>
      </c>
    </row>
    <row r="4" spans="1:13" x14ac:dyDescent="0.3">
      <c r="A4" s="310" t="s">
        <v>177</v>
      </c>
      <c r="B4" s="382">
        <v>2808567</v>
      </c>
      <c r="C4" s="310" t="s">
        <v>149</v>
      </c>
      <c r="D4" s="377" t="s">
        <v>924</v>
      </c>
      <c r="F4" s="273"/>
      <c r="H4" s="389" t="s">
        <v>169</v>
      </c>
      <c r="I4" s="126" t="s">
        <v>259</v>
      </c>
      <c r="K4" s="309" t="s">
        <v>157</v>
      </c>
      <c r="M4" s="418">
        <f>XIRR(B33:M33,B18:M18)</f>
        <v>8.3575490117073076E-2</v>
      </c>
    </row>
    <row r="5" spans="1:13" x14ac:dyDescent="0.3">
      <c r="A5" s="114" t="s">
        <v>226</v>
      </c>
      <c r="B5" s="436">
        <f>'Observatory Analysis'!B5+'Building Analysis'!B5</f>
        <v>2139209844.0152783</v>
      </c>
      <c r="C5" s="114"/>
      <c r="D5" s="476"/>
      <c r="F5" s="273" t="s">
        <v>253</v>
      </c>
      <c r="G5" s="391"/>
      <c r="H5" s="390">
        <f t="shared" ref="H5:H8" si="0">I5/$B$4</f>
        <v>892.57905771666856</v>
      </c>
      <c r="I5" s="81">
        <f>SUM('Observatory Analysis'!$D$5+'Building Analysis'!$I$9)</f>
        <v>2506868086.3941307</v>
      </c>
      <c r="K5" s="313" t="s">
        <v>159</v>
      </c>
      <c r="L5" s="254"/>
      <c r="M5" s="314">
        <f>SUMIF(B33:M33,"&gt;"&amp;0,B33:M33)/-SUMIF(B33:M33,"&lt;"&amp;0,B33:M33)</f>
        <v>1.9035713975316511</v>
      </c>
    </row>
    <row r="6" spans="1:13" x14ac:dyDescent="0.3">
      <c r="A6" s="310" t="s">
        <v>227</v>
      </c>
      <c r="B6" s="315">
        <f>B5/B4</f>
        <v>761.67306815727682</v>
      </c>
      <c r="C6" s="131" t="s">
        <v>263</v>
      </c>
      <c r="D6" s="379">
        <v>10</v>
      </c>
      <c r="F6" s="273" t="s">
        <v>254</v>
      </c>
      <c r="G6" s="392">
        <v>0.02</v>
      </c>
      <c r="H6" s="316">
        <f t="shared" si="0"/>
        <v>-17.85158115433337</v>
      </c>
      <c r="I6" s="317">
        <f>-I5*G6</f>
        <v>-50137361.727882616</v>
      </c>
      <c r="K6" s="110" t="s">
        <v>163</v>
      </c>
      <c r="L6" s="106">
        <f>M6/$B$4</f>
        <v>429.13215096754294</v>
      </c>
      <c r="M6" s="107">
        <f>SUMIF($B$41:$M$41,"&gt;0",$B$41:$M$41)+SUMIF($B$41:$M$41,"&lt;0",$B$41:$M$41)</f>
        <v>1205246397.8464592</v>
      </c>
    </row>
    <row r="7" spans="1:13" x14ac:dyDescent="0.3">
      <c r="A7" s="273" t="s">
        <v>225</v>
      </c>
      <c r="B7" s="197">
        <f>B9/B5</f>
        <v>8.397499876067184E-2</v>
      </c>
      <c r="C7" s="310" t="s">
        <v>150</v>
      </c>
      <c r="D7" s="380">
        <v>45292</v>
      </c>
      <c r="F7" s="467" t="s">
        <v>255</v>
      </c>
      <c r="G7" s="468"/>
      <c r="H7" s="469">
        <f t="shared" si="0"/>
        <v>874.72747656233526</v>
      </c>
      <c r="I7" s="470">
        <f>SUM(I5:I6)</f>
        <v>2456730724.6662483</v>
      </c>
      <c r="K7" s="110" t="s">
        <v>161</v>
      </c>
      <c r="L7" s="318"/>
      <c r="M7" s="108">
        <f>XIRR(B41:M41,B18:M18)</f>
        <v>9.5341792702674844E-2</v>
      </c>
    </row>
    <row r="8" spans="1:13" ht="15" thickBot="1" x14ac:dyDescent="0.35">
      <c r="A8" s="319" t="s">
        <v>162</v>
      </c>
      <c r="B8" s="124">
        <f>C19</f>
        <v>0.88421604327046499</v>
      </c>
      <c r="C8" t="s">
        <v>26</v>
      </c>
      <c r="D8" s="320">
        <f>EOMONTH(D7-1,D6*12)</f>
        <v>48944</v>
      </c>
      <c r="E8" s="321"/>
      <c r="F8" s="273" t="str">
        <f>"PV of Net Sales Price @ "&amp;TEXT(M4,"0.00%")&amp;" Discount Rate"</f>
        <v>PV of Net Sales Price @ 8.36% Discount Rate</v>
      </c>
      <c r="H8" s="390">
        <f t="shared" si="0"/>
        <v>391.99546159272518</v>
      </c>
      <c r="I8" s="81">
        <f>I7/(1+M4)^G3</f>
        <v>1100945517.5790954</v>
      </c>
      <c r="K8" s="111" t="s">
        <v>164</v>
      </c>
      <c r="L8" s="322"/>
      <c r="M8" s="109">
        <f>SUMIF(B41:M41,"&gt;"&amp;0,B41:M41)/-SUMIF(B41:M41,"&lt;"&amp;0,B41:M41)</f>
        <v>2.1268145583924785</v>
      </c>
    </row>
    <row r="9" spans="1:13" ht="15" thickBot="1" x14ac:dyDescent="0.35">
      <c r="A9" s="278" t="s">
        <v>151</v>
      </c>
      <c r="B9" s="112">
        <f>C22</f>
        <v>179640144</v>
      </c>
      <c r="C9" s="278" t="str">
        <f>"Exit Forward NOI - YR"&amp;D6&amp;""</f>
        <v>Exit Forward NOI - YR10</v>
      </c>
      <c r="D9" s="323">
        <f>INDEX($B$22:$M$22,MATCH($D$6+1,$B$17:$M$17,0))</f>
        <v>198107096.85438761</v>
      </c>
      <c r="E9" s="197"/>
      <c r="F9" s="273" t="s">
        <v>256</v>
      </c>
      <c r="H9" s="316">
        <f>I9/$B$4</f>
        <v>-347.12265265422803</v>
      </c>
      <c r="I9" s="317">
        <f>SUM(B37:M37)</f>
        <v>-974917227.19712722</v>
      </c>
      <c r="K9" s="309" t="str">
        <f>'Property Summary'!$A$60&amp;" Profit"</f>
        <v>Capital Partner Profit</v>
      </c>
      <c r="L9" s="105">
        <f>M9/$B$4</f>
        <v>407.67554341916571</v>
      </c>
      <c r="M9" s="100">
        <f>'Waterfall Model'!R4</f>
        <v>1144984077.9541359</v>
      </c>
    </row>
    <row r="10" spans="1:13" ht="15" thickBot="1" x14ac:dyDescent="0.35">
      <c r="F10" s="273" t="s">
        <v>257</v>
      </c>
      <c r="H10" s="390">
        <f>I10/$B$4</f>
        <v>527.60482390810728</v>
      </c>
      <c r="I10" s="125">
        <f>I7+I9</f>
        <v>1481813497.469121</v>
      </c>
      <c r="K10" s="309" t="str">
        <f>'Property Summary'!$A$60&amp;" IRR"</f>
        <v>Capital Partner IRR</v>
      </c>
      <c r="M10" s="311">
        <f>'Waterfall Model'!P4</f>
        <v>9.5341792702674844E-2</v>
      </c>
    </row>
    <row r="11" spans="1:13" ht="15" thickBot="1" x14ac:dyDescent="0.35">
      <c r="A11" s="82" t="s">
        <v>228</v>
      </c>
      <c r="B11" s="305"/>
      <c r="C11" s="305"/>
      <c r="D11" s="306"/>
      <c r="F11" s="161" t="str">
        <f>"PV of Net Sales Price @ "&amp;TEXT(M4,"0.00%")&amp;" Discount Rate"</f>
        <v>PV of Net Sales Price @ 8.36% Discount Rate</v>
      </c>
      <c r="G11" s="162"/>
      <c r="H11" s="163">
        <f>I11/$B$4</f>
        <v>236.43786439543555</v>
      </c>
      <c r="I11" s="164">
        <f>I10/(1+M4)^G3</f>
        <v>664051583.49149525</v>
      </c>
      <c r="K11" s="313" t="str">
        <f>'Property Summary'!$A$60&amp;" Multiple"</f>
        <v>Capital Partner Multiple</v>
      </c>
      <c r="L11" s="254"/>
      <c r="M11" s="314">
        <f>'Waterfall Model'!Q4</f>
        <v>2.126814558392478</v>
      </c>
    </row>
    <row r="12" spans="1:13" x14ac:dyDescent="0.3">
      <c r="A12" s="307" t="s">
        <v>229</v>
      </c>
      <c r="B12" s="384">
        <v>0.5</v>
      </c>
      <c r="C12" s="307" t="s">
        <v>173</v>
      </c>
      <c r="D12" s="367">
        <f>B12*B5</f>
        <v>1069604922.0076392</v>
      </c>
      <c r="K12" s="309" t="str">
        <f>'Property Summary'!$A$59&amp;" Profit"</f>
        <v>Sponsor Profit</v>
      </c>
      <c r="L12" s="105">
        <f>M12/$B$4</f>
        <v>21.456607548377139</v>
      </c>
      <c r="M12" s="100">
        <f>'Waterfall Model'!N4</f>
        <v>60262319.892322935</v>
      </c>
    </row>
    <row r="13" spans="1:13" x14ac:dyDescent="0.3">
      <c r="A13" s="273" t="s">
        <v>262</v>
      </c>
      <c r="B13" s="385">
        <v>3.5000000000000003E-2</v>
      </c>
      <c r="C13" s="273" t="s">
        <v>3</v>
      </c>
      <c r="D13" s="387">
        <v>10</v>
      </c>
      <c r="K13" s="309" t="str">
        <f>'Property Summary'!$A$59&amp;" IRR"</f>
        <v>Sponsor IRR</v>
      </c>
      <c r="M13" s="311">
        <f>'Waterfall Model'!L4</f>
        <v>9.5341792702674844E-2</v>
      </c>
    </row>
    <row r="14" spans="1:13" ht="15" thickBot="1" x14ac:dyDescent="0.35">
      <c r="A14" s="273" t="s">
        <v>261</v>
      </c>
      <c r="B14" s="386">
        <v>3.5000000000000003E-2</v>
      </c>
      <c r="C14" s="273" t="s">
        <v>15</v>
      </c>
      <c r="D14" s="387">
        <v>3</v>
      </c>
      <c r="K14" s="325" t="str">
        <f>'Property Summary'!$A$59&amp;" Multiple"</f>
        <v>Sponsor Multiple</v>
      </c>
      <c r="L14" s="279"/>
      <c r="M14" s="326">
        <f>'Waterfall Model'!M4</f>
        <v>2.126814558392478</v>
      </c>
    </row>
    <row r="15" spans="1:13" ht="15" thickBot="1" x14ac:dyDescent="0.35">
      <c r="A15" s="278" t="s">
        <v>2</v>
      </c>
      <c r="B15" s="366">
        <f>SUM(B13:B14)</f>
        <v>7.0000000000000007E-2</v>
      </c>
      <c r="C15" s="278" t="s">
        <v>4</v>
      </c>
      <c r="D15" s="388">
        <v>30</v>
      </c>
    </row>
    <row r="16" spans="1:13" ht="15" thickBot="1" x14ac:dyDescent="0.35"/>
    <row r="17" spans="1:14" x14ac:dyDescent="0.3">
      <c r="A17" s="327" t="s">
        <v>237</v>
      </c>
      <c r="B17" s="328">
        <f>Proforma!E3</f>
        <v>0</v>
      </c>
      <c r="C17" s="329">
        <f>Proforma!F3</f>
        <v>1</v>
      </c>
      <c r="D17" s="329">
        <f>Proforma!G3</f>
        <v>2</v>
      </c>
      <c r="E17" s="329">
        <f>Proforma!H3</f>
        <v>3</v>
      </c>
      <c r="F17" s="329">
        <f>Proforma!I3</f>
        <v>4</v>
      </c>
      <c r="G17" s="329">
        <f>Proforma!J3</f>
        <v>5</v>
      </c>
      <c r="H17" s="329">
        <f>Proforma!K3</f>
        <v>6</v>
      </c>
      <c r="I17" s="329">
        <f>Proforma!L3</f>
        <v>7</v>
      </c>
      <c r="J17" s="329">
        <f>Proforma!M3</f>
        <v>8</v>
      </c>
      <c r="K17" s="329">
        <f>Proforma!N3</f>
        <v>9</v>
      </c>
      <c r="L17" s="329">
        <f>Proforma!O3</f>
        <v>10</v>
      </c>
      <c r="M17" s="330">
        <f>Proforma!P3</f>
        <v>11</v>
      </c>
    </row>
    <row r="18" spans="1:14" x14ac:dyDescent="0.3">
      <c r="A18" s="331" t="s">
        <v>238</v>
      </c>
      <c r="B18" s="253">
        <f>Proforma!E4</f>
        <v>45292</v>
      </c>
      <c r="C18" s="253">
        <f>Proforma!F4</f>
        <v>45657</v>
      </c>
      <c r="D18" s="253">
        <f>Proforma!G4</f>
        <v>46022</v>
      </c>
      <c r="E18" s="253">
        <f>Proforma!H4</f>
        <v>46387</v>
      </c>
      <c r="F18" s="253">
        <f>Proforma!I4</f>
        <v>46752</v>
      </c>
      <c r="G18" s="253">
        <f>Proforma!J4</f>
        <v>47118</v>
      </c>
      <c r="H18" s="253">
        <f>Proforma!K4</f>
        <v>47483</v>
      </c>
      <c r="I18" s="253">
        <f>Proforma!L4</f>
        <v>47848</v>
      </c>
      <c r="J18" s="253">
        <f>Proforma!M4</f>
        <v>48213</v>
      </c>
      <c r="K18" s="253">
        <f>Proforma!N4</f>
        <v>48579</v>
      </c>
      <c r="L18" s="253">
        <f>Proforma!O4</f>
        <v>48944</v>
      </c>
      <c r="M18" s="332">
        <f>Proforma!P4</f>
        <v>49309</v>
      </c>
    </row>
    <row r="19" spans="1:14" ht="15" thickBot="1" x14ac:dyDescent="0.35">
      <c r="A19" s="333" t="s">
        <v>160</v>
      </c>
      <c r="B19" s="334" t="s">
        <v>249</v>
      </c>
      <c r="C19" s="115">
        <f>Proforma!F6</f>
        <v>0.88421604327046499</v>
      </c>
      <c r="D19" s="115">
        <f>Proforma!G6</f>
        <v>0.91714992022622199</v>
      </c>
      <c r="E19" s="115">
        <f>Proforma!H6</f>
        <v>0.97081073729058298</v>
      </c>
      <c r="F19" s="115">
        <f>Proforma!I6</f>
        <v>0.975840971570199</v>
      </c>
      <c r="G19" s="115">
        <f>Proforma!J6</f>
        <v>0.962031111714028</v>
      </c>
      <c r="H19" s="115">
        <f>Proforma!K6</f>
        <v>0.90869332415190096</v>
      </c>
      <c r="I19" s="115">
        <f>Proforma!L6</f>
        <v>0.991930048312894</v>
      </c>
      <c r="J19" s="115">
        <f>Proforma!M6</f>
        <v>0.99292729471411301</v>
      </c>
      <c r="K19" s="115">
        <f>Proforma!N6</f>
        <v>0.99241205568533697</v>
      </c>
      <c r="L19" s="115">
        <f>Proforma!O6</f>
        <v>0.99609649689681601</v>
      </c>
      <c r="M19" s="139">
        <f>Proforma!P6</f>
        <v>0.96345829266906102</v>
      </c>
    </row>
    <row r="20" spans="1:14" x14ac:dyDescent="0.3">
      <c r="A20" s="335" t="s">
        <v>302</v>
      </c>
      <c r="B20" s="474">
        <f>Proforma!E37</f>
        <v>0</v>
      </c>
      <c r="C20" s="474">
        <f>Proforma!F37</f>
        <v>87248544</v>
      </c>
      <c r="D20" s="474">
        <f>Proforma!G37</f>
        <v>91652523</v>
      </c>
      <c r="E20" s="474">
        <f>Proforma!H37</f>
        <v>95756622</v>
      </c>
      <c r="F20" s="474">
        <f>Proforma!I37</f>
        <v>98326799</v>
      </c>
      <c r="G20" s="474">
        <f>Proforma!J37</f>
        <v>96446550</v>
      </c>
      <c r="H20" s="474">
        <f>Proforma!K37</f>
        <v>71090813</v>
      </c>
      <c r="I20" s="474">
        <f>Proforma!L37</f>
        <v>80711654</v>
      </c>
      <c r="J20" s="474">
        <f>Proforma!M37</f>
        <v>82226166</v>
      </c>
      <c r="K20" s="474">
        <f>Proforma!N37</f>
        <v>82987164</v>
      </c>
      <c r="L20" s="474">
        <f>Proforma!O37</f>
        <v>85461331</v>
      </c>
      <c r="M20" s="475">
        <f>Proforma!P37</f>
        <v>85482252</v>
      </c>
    </row>
    <row r="21" spans="1:14" x14ac:dyDescent="0.3">
      <c r="A21" s="335" t="s">
        <v>304</v>
      </c>
      <c r="B21" s="474">
        <f>'Observatory Analysis'!B13</f>
        <v>0</v>
      </c>
      <c r="C21" s="474">
        <f>'Observatory Analysis'!C13</f>
        <v>92391600</v>
      </c>
      <c r="D21" s="474">
        <f>'Observatory Analysis'!D13</f>
        <v>94239432</v>
      </c>
      <c r="E21" s="474">
        <f>'Observatory Analysis'!E13</f>
        <v>96124220.639999986</v>
      </c>
      <c r="F21" s="474">
        <f>'Observatory Analysis'!F13</f>
        <v>98046705.052799985</v>
      </c>
      <c r="G21" s="474">
        <f>'Observatory Analysis'!G13</f>
        <v>100007639.15385598</v>
      </c>
      <c r="H21" s="474">
        <f>'Observatory Analysis'!H13</f>
        <v>102007791.9369331</v>
      </c>
      <c r="I21" s="474">
        <f>'Observatory Analysis'!I13</f>
        <v>104047947.77567178</v>
      </c>
      <c r="J21" s="474">
        <f>'Observatory Analysis'!J13</f>
        <v>106128906.73118523</v>
      </c>
      <c r="K21" s="474">
        <f>'Observatory Analysis'!K13</f>
        <v>108251484.86580893</v>
      </c>
      <c r="L21" s="474">
        <f>'Observatory Analysis'!L13</f>
        <v>110416514.56312512</v>
      </c>
      <c r="M21" s="475">
        <f>'Observatory Analysis'!M13</f>
        <v>112624844.85438761</v>
      </c>
    </row>
    <row r="22" spans="1:14" x14ac:dyDescent="0.3">
      <c r="A22" s="337" t="s">
        <v>303</v>
      </c>
      <c r="B22" s="397">
        <v>0</v>
      </c>
      <c r="C22" s="397">
        <f>C20+C21</f>
        <v>179640144</v>
      </c>
      <c r="D22" s="397">
        <f t="shared" ref="D22:M22" si="1">D20+D21</f>
        <v>185891955</v>
      </c>
      <c r="E22" s="397">
        <f t="shared" si="1"/>
        <v>191880842.63999999</v>
      </c>
      <c r="F22" s="397">
        <f t="shared" si="1"/>
        <v>196373504.0528</v>
      </c>
      <c r="G22" s="397">
        <f t="shared" si="1"/>
        <v>196454189.15385598</v>
      </c>
      <c r="H22" s="397">
        <f t="shared" si="1"/>
        <v>173098604.9369331</v>
      </c>
      <c r="I22" s="397">
        <f t="shared" si="1"/>
        <v>184759601.77567178</v>
      </c>
      <c r="J22" s="397">
        <f t="shared" si="1"/>
        <v>188355072.73118523</v>
      </c>
      <c r="K22" s="397">
        <f t="shared" si="1"/>
        <v>191238648.86580893</v>
      </c>
      <c r="L22" s="397">
        <f t="shared" si="1"/>
        <v>195877845.56312513</v>
      </c>
      <c r="M22" s="338">
        <f t="shared" si="1"/>
        <v>198107096.85438761</v>
      </c>
    </row>
    <row r="23" spans="1:14" x14ac:dyDescent="0.3">
      <c r="A23" s="339" t="s">
        <v>241</v>
      </c>
      <c r="B23" s="399" t="s">
        <v>242</v>
      </c>
      <c r="C23" s="400">
        <v>0</v>
      </c>
      <c r="D23" s="400">
        <f t="shared" ref="D23:M23" si="2">(D22-C22)/C22</f>
        <v>3.4801859210266496E-2</v>
      </c>
      <c r="E23" s="400">
        <f t="shared" si="2"/>
        <v>3.2217035105150116E-2</v>
      </c>
      <c r="F23" s="400">
        <f t="shared" si="2"/>
        <v>2.3413809064977819E-2</v>
      </c>
      <c r="G23" s="400">
        <f t="shared" si="2"/>
        <v>4.1087570059495141E-4</v>
      </c>
      <c r="H23" s="400">
        <f t="shared" si="2"/>
        <v>-0.11888565124275162</v>
      </c>
      <c r="I23" s="400">
        <f t="shared" si="2"/>
        <v>6.7366209236563501E-2</v>
      </c>
      <c r="J23" s="400">
        <f t="shared" si="2"/>
        <v>1.9460265777574766E-2</v>
      </c>
      <c r="K23" s="400">
        <f t="shared" si="2"/>
        <v>1.5309256569580479E-2</v>
      </c>
      <c r="L23" s="400">
        <f t="shared" si="2"/>
        <v>2.4258677442191602E-2</v>
      </c>
      <c r="M23" s="340">
        <f t="shared" si="2"/>
        <v>1.1380824027616036E-2</v>
      </c>
    </row>
    <row r="24" spans="1:14" x14ac:dyDescent="0.3">
      <c r="A24" s="341"/>
      <c r="B24" s="401"/>
      <c r="C24" s="402"/>
      <c r="D24" s="402"/>
      <c r="E24" s="402"/>
      <c r="F24" s="402"/>
      <c r="G24" s="402"/>
      <c r="H24" s="402"/>
      <c r="I24" s="402"/>
      <c r="J24" s="402"/>
      <c r="K24" s="402"/>
      <c r="L24" s="402"/>
      <c r="M24" s="342"/>
    </row>
    <row r="25" spans="1:14" x14ac:dyDescent="0.3">
      <c r="A25" s="335" t="s">
        <v>122</v>
      </c>
      <c r="B25" s="398">
        <f>-Proforma!E42</f>
        <v>0</v>
      </c>
      <c r="C25" s="398">
        <f>-Proforma!F42</f>
        <v>-52346631</v>
      </c>
      <c r="D25" s="398">
        <f>-Proforma!G42</f>
        <v>-34717449</v>
      </c>
      <c r="E25" s="398">
        <f>-Proforma!H42</f>
        <v>-21201215</v>
      </c>
      <c r="F25" s="398">
        <f>-Proforma!I42</f>
        <v>-15202057</v>
      </c>
      <c r="G25" s="398">
        <f>-Proforma!J42</f>
        <v>-12932417</v>
      </c>
      <c r="H25" s="398">
        <f>-Proforma!K42</f>
        <v>-75397937</v>
      </c>
      <c r="I25" s="398">
        <f>-Proforma!L42</f>
        <v>-4731266</v>
      </c>
      <c r="J25" s="398">
        <f>-Proforma!M42</f>
        <v>-5238105</v>
      </c>
      <c r="K25" s="398">
        <f>-Proforma!N42</f>
        <v>-4355780</v>
      </c>
      <c r="L25" s="398">
        <f>-Proforma!O42</f>
        <v>-2865863</v>
      </c>
      <c r="M25" s="336">
        <f>-Proforma!P42</f>
        <v>-18345095</v>
      </c>
    </row>
    <row r="26" spans="1:14" x14ac:dyDescent="0.3">
      <c r="A26" s="343" t="s">
        <v>380</v>
      </c>
      <c r="B26" s="344">
        <f>-Proforma!E43</f>
        <v>0</v>
      </c>
      <c r="C26" s="344">
        <f>-Proforma!F43</f>
        <v>-10608333</v>
      </c>
      <c r="D26" s="344">
        <f>-Proforma!G43</f>
        <v>-10608833</v>
      </c>
      <c r="E26" s="344">
        <f>-Proforma!H43</f>
        <v>-10609343</v>
      </c>
      <c r="F26" s="344">
        <f>-Proforma!I43</f>
        <v>-4976530</v>
      </c>
      <c r="G26" s="344">
        <f>-Proforma!J43</f>
        <v>-2227061</v>
      </c>
      <c r="H26" s="344">
        <f>-Proforma!K43</f>
        <v>-27602</v>
      </c>
      <c r="I26" s="344">
        <f>-Proforma!L43</f>
        <v>-28154</v>
      </c>
      <c r="J26" s="344">
        <f>-Proforma!M43</f>
        <v>-28717</v>
      </c>
      <c r="K26" s="344">
        <f>-Proforma!N43</f>
        <v>-29291</v>
      </c>
      <c r="L26" s="344">
        <f>-Proforma!O43</f>
        <v>-29877</v>
      </c>
      <c r="M26" s="345">
        <f>-Proforma!P43</f>
        <v>-30475</v>
      </c>
    </row>
    <row r="27" spans="1:14" x14ac:dyDescent="0.3">
      <c r="A27" s="346" t="s">
        <v>243</v>
      </c>
      <c r="B27" s="403">
        <f>SUM(B25:B26)</f>
        <v>0</v>
      </c>
      <c r="C27" s="403">
        <f t="shared" ref="C27:M27" si="3">SUM(C25:C26)</f>
        <v>-62954964</v>
      </c>
      <c r="D27" s="403">
        <f t="shared" si="3"/>
        <v>-45326282</v>
      </c>
      <c r="E27" s="403">
        <f t="shared" si="3"/>
        <v>-31810558</v>
      </c>
      <c r="F27" s="403">
        <f t="shared" si="3"/>
        <v>-20178587</v>
      </c>
      <c r="G27" s="403">
        <f t="shared" si="3"/>
        <v>-15159478</v>
      </c>
      <c r="H27" s="403">
        <f t="shared" si="3"/>
        <v>-75425539</v>
      </c>
      <c r="I27" s="403">
        <f t="shared" si="3"/>
        <v>-4759420</v>
      </c>
      <c r="J27" s="403">
        <f t="shared" si="3"/>
        <v>-5266822</v>
      </c>
      <c r="K27" s="403">
        <f t="shared" si="3"/>
        <v>-4385071</v>
      </c>
      <c r="L27" s="403">
        <f t="shared" si="3"/>
        <v>-2895740</v>
      </c>
      <c r="M27" s="347">
        <f t="shared" si="3"/>
        <v>-18375570</v>
      </c>
      <c r="N27" s="403"/>
    </row>
    <row r="28" spans="1:14" x14ac:dyDescent="0.3">
      <c r="A28" s="346"/>
      <c r="B28" s="403"/>
      <c r="C28" s="403"/>
      <c r="D28" s="403"/>
      <c r="E28" s="403"/>
      <c r="F28" s="403"/>
      <c r="G28" s="403"/>
      <c r="H28" s="403"/>
      <c r="I28" s="403"/>
      <c r="J28" s="403"/>
      <c r="K28" s="403"/>
      <c r="L28" s="403"/>
      <c r="M28" s="347"/>
    </row>
    <row r="29" spans="1:14" x14ac:dyDescent="0.3">
      <c r="A29" s="539" t="s">
        <v>133</v>
      </c>
      <c r="B29" s="540"/>
      <c r="C29" s="397">
        <f t="shared" ref="C29:M29" si="4">C22+C27</f>
        <v>116685180</v>
      </c>
      <c r="D29" s="397">
        <f t="shared" si="4"/>
        <v>140565673</v>
      </c>
      <c r="E29" s="397">
        <f t="shared" si="4"/>
        <v>160070284.63999999</v>
      </c>
      <c r="F29" s="397">
        <f t="shared" si="4"/>
        <v>176194917.0528</v>
      </c>
      <c r="G29" s="397">
        <f t="shared" si="4"/>
        <v>181294711.15385598</v>
      </c>
      <c r="H29" s="397">
        <f t="shared" si="4"/>
        <v>97673065.9369331</v>
      </c>
      <c r="I29" s="397">
        <f t="shared" si="4"/>
        <v>180000181.77567178</v>
      </c>
      <c r="J29" s="397">
        <f t="shared" si="4"/>
        <v>183088250.73118523</v>
      </c>
      <c r="K29" s="397">
        <f t="shared" si="4"/>
        <v>186853577.86580893</v>
      </c>
      <c r="L29" s="397">
        <f t="shared" si="4"/>
        <v>192982105.56312513</v>
      </c>
      <c r="M29" s="338">
        <f t="shared" si="4"/>
        <v>179731526.85438761</v>
      </c>
    </row>
    <row r="30" spans="1:14" x14ac:dyDescent="0.3">
      <c r="A30" s="348"/>
      <c r="B30" s="116"/>
      <c r="C30" s="116"/>
      <c r="D30" s="116"/>
      <c r="E30" s="116"/>
      <c r="F30" s="116"/>
      <c r="G30" s="116"/>
      <c r="H30" s="116"/>
      <c r="I30" s="116"/>
      <c r="J30" s="116"/>
      <c r="K30" s="116"/>
      <c r="L30" s="116"/>
      <c r="M30" s="140"/>
    </row>
    <row r="31" spans="1:14" x14ac:dyDescent="0.3">
      <c r="A31" s="539" t="str">
        <f>"Building Net Reversion "</f>
        <v xml:space="preserve">Building Net Reversion </v>
      </c>
      <c r="B31" s="540"/>
      <c r="C31" s="397">
        <f t="shared" ref="C31:M31" si="5">IF(C17=$D$6,$I$7,0)</f>
        <v>0</v>
      </c>
      <c r="D31" s="397">
        <f t="shared" si="5"/>
        <v>0</v>
      </c>
      <c r="E31" s="397">
        <f t="shared" si="5"/>
        <v>0</v>
      </c>
      <c r="F31" s="397">
        <f t="shared" si="5"/>
        <v>0</v>
      </c>
      <c r="G31" s="397">
        <f t="shared" si="5"/>
        <v>0</v>
      </c>
      <c r="H31" s="397">
        <f t="shared" si="5"/>
        <v>0</v>
      </c>
      <c r="I31" s="397">
        <f t="shared" si="5"/>
        <v>0</v>
      </c>
      <c r="J31" s="397">
        <f t="shared" si="5"/>
        <v>0</v>
      </c>
      <c r="K31" s="397">
        <f t="shared" si="5"/>
        <v>0</v>
      </c>
      <c r="L31" s="397">
        <f t="shared" si="5"/>
        <v>2456730724.6662483</v>
      </c>
      <c r="M31" s="338">
        <f t="shared" si="5"/>
        <v>0</v>
      </c>
    </row>
    <row r="32" spans="1:14" x14ac:dyDescent="0.3">
      <c r="A32" s="349"/>
      <c r="B32" s="403"/>
      <c r="C32" s="403"/>
      <c r="D32" s="403"/>
      <c r="E32" s="403"/>
      <c r="F32" s="403"/>
      <c r="G32" s="403"/>
      <c r="H32" s="403"/>
      <c r="I32" s="403"/>
      <c r="J32" s="403"/>
      <c r="K32" s="403"/>
      <c r="L32" s="403"/>
      <c r="M32" s="347"/>
    </row>
    <row r="33" spans="1:29" x14ac:dyDescent="0.3">
      <c r="A33" s="337" t="s">
        <v>244</v>
      </c>
      <c r="B33" s="397">
        <f>-B5*(B17&lt;=$G$3)</f>
        <v>-2139209844.0152783</v>
      </c>
      <c r="C33" s="397">
        <f>SUM(C29,C31)*(C17&lt;=$G$3)</f>
        <v>116685180</v>
      </c>
      <c r="D33" s="397">
        <f t="shared" ref="D33:M33" si="6">SUM(D29,D31)*(D17&lt;=$G$3)</f>
        <v>140565673</v>
      </c>
      <c r="E33" s="397">
        <f t="shared" si="6"/>
        <v>160070284.63999999</v>
      </c>
      <c r="F33" s="397">
        <f t="shared" si="6"/>
        <v>176194917.0528</v>
      </c>
      <c r="G33" s="397">
        <f t="shared" si="6"/>
        <v>181294711.15385598</v>
      </c>
      <c r="H33" s="397">
        <f t="shared" si="6"/>
        <v>97673065.9369331</v>
      </c>
      <c r="I33" s="397">
        <f t="shared" si="6"/>
        <v>180000181.77567178</v>
      </c>
      <c r="J33" s="397">
        <f t="shared" si="6"/>
        <v>183088250.73118523</v>
      </c>
      <c r="K33" s="397">
        <f t="shared" si="6"/>
        <v>186853577.86580893</v>
      </c>
      <c r="L33" s="397">
        <f t="shared" si="6"/>
        <v>2649712830.2293735</v>
      </c>
      <c r="M33" s="338">
        <f t="shared" si="6"/>
        <v>0</v>
      </c>
      <c r="T33" s="350" t="s">
        <v>170</v>
      </c>
      <c r="U33" s="350" t="s">
        <v>170</v>
      </c>
      <c r="V33" s="350" t="s">
        <v>170</v>
      </c>
      <c r="W33" s="350" t="s">
        <v>170</v>
      </c>
    </row>
    <row r="34" spans="1:29" x14ac:dyDescent="0.3">
      <c r="A34" s="346"/>
      <c r="B34" s="403"/>
      <c r="C34" s="403"/>
      <c r="D34" s="403"/>
      <c r="E34" s="403"/>
      <c r="F34" s="403"/>
      <c r="G34" s="403"/>
      <c r="H34" s="403"/>
      <c r="I34" s="403"/>
      <c r="J34" s="403"/>
      <c r="K34" s="403"/>
      <c r="L34" s="403"/>
      <c r="M34" s="347"/>
    </row>
    <row r="35" spans="1:29" x14ac:dyDescent="0.3">
      <c r="A35" s="337" t="s">
        <v>173</v>
      </c>
      <c r="B35" s="397">
        <f>D12</f>
        <v>1069604922.0076392</v>
      </c>
      <c r="C35" s="397">
        <v>0</v>
      </c>
      <c r="D35" s="397">
        <v>0</v>
      </c>
      <c r="E35" s="397">
        <v>0</v>
      </c>
      <c r="F35" s="397">
        <v>0</v>
      </c>
      <c r="G35" s="397">
        <v>0</v>
      </c>
      <c r="H35" s="397">
        <v>0</v>
      </c>
      <c r="I35" s="397">
        <v>0</v>
      </c>
      <c r="J35" s="397">
        <v>0</v>
      </c>
      <c r="K35" s="397">
        <v>0</v>
      </c>
      <c r="L35" s="397">
        <v>0</v>
      </c>
      <c r="M35" s="338">
        <v>0</v>
      </c>
    </row>
    <row r="36" spans="1:29" x14ac:dyDescent="0.3">
      <c r="A36" s="335" t="s">
        <v>174</v>
      </c>
      <c r="B36" s="398">
        <f>SUM(Proforma!E53:E54)</f>
        <v>0</v>
      </c>
      <c r="C36" s="398">
        <f>SUM(Proforma!F53:F54)</f>
        <v>-74872344.54053475</v>
      </c>
      <c r="D36" s="398">
        <f>SUM(Proforma!G53:G54)</f>
        <v>-74872344.54053475</v>
      </c>
      <c r="E36" s="398">
        <f>SUM(Proforma!H53:H54)</f>
        <v>-74872344.54053475</v>
      </c>
      <c r="F36" s="398">
        <f>SUM(Proforma!I53:I54)</f>
        <v>-85393298.816114172</v>
      </c>
      <c r="G36" s="398">
        <f>SUM(Proforma!J53:J54)</f>
        <v>-85393298.816114143</v>
      </c>
      <c r="H36" s="398">
        <f>SUM(Proforma!K53:K54)</f>
        <v>-85393298.816114143</v>
      </c>
      <c r="I36" s="398">
        <f>SUM(Proforma!L53:L54)</f>
        <v>-85393298.816114157</v>
      </c>
      <c r="J36" s="398">
        <f>SUM(Proforma!M53:M54)</f>
        <v>-85393298.816114157</v>
      </c>
      <c r="K36" s="398">
        <f>SUM(Proforma!N53:N54)</f>
        <v>-85393298.816114157</v>
      </c>
      <c r="L36" s="398">
        <f>SUM(Proforma!O53:O54)</f>
        <v>-85393298.816114157</v>
      </c>
      <c r="M36" s="336">
        <f>SUM(Proforma!P53:P54)</f>
        <v>0</v>
      </c>
    </row>
    <row r="37" spans="1:29" x14ac:dyDescent="0.3">
      <c r="A37" s="343" t="s">
        <v>245</v>
      </c>
      <c r="B37" s="344">
        <f>Proforma!E55</f>
        <v>0</v>
      </c>
      <c r="C37" s="344">
        <f>Proforma!F55</f>
        <v>0</v>
      </c>
      <c r="D37" s="344">
        <f>Proforma!G55</f>
        <v>0</v>
      </c>
      <c r="E37" s="344">
        <f>Proforma!H55</f>
        <v>0</v>
      </c>
      <c r="F37" s="344">
        <f>Proforma!I55</f>
        <v>0</v>
      </c>
      <c r="G37" s="344">
        <f>Proforma!J55</f>
        <v>0</v>
      </c>
      <c r="H37" s="344">
        <f>Proforma!K55</f>
        <v>0</v>
      </c>
      <c r="I37" s="344">
        <f>Proforma!L55</f>
        <v>0</v>
      </c>
      <c r="J37" s="344">
        <f>Proforma!M55</f>
        <v>0</v>
      </c>
      <c r="K37" s="344">
        <f>Proforma!N55</f>
        <v>0</v>
      </c>
      <c r="L37" s="344">
        <f>Proforma!O55</f>
        <v>-974917227.19712722</v>
      </c>
      <c r="M37" s="345">
        <f>Proforma!P55</f>
        <v>0</v>
      </c>
    </row>
    <row r="38" spans="1:29" x14ac:dyDescent="0.3">
      <c r="A38" s="351" t="s">
        <v>246</v>
      </c>
      <c r="B38" s="352">
        <f>SUM(B35:B37)</f>
        <v>1069604922.0076392</v>
      </c>
      <c r="C38" s="352">
        <f t="shared" ref="C38:M38" si="7">SUM(C35:C37)</f>
        <v>-74872344.54053475</v>
      </c>
      <c r="D38" s="352">
        <f t="shared" si="7"/>
        <v>-74872344.54053475</v>
      </c>
      <c r="E38" s="352">
        <f t="shared" si="7"/>
        <v>-74872344.54053475</v>
      </c>
      <c r="F38" s="352">
        <f t="shared" si="7"/>
        <v>-85393298.816114172</v>
      </c>
      <c r="G38" s="352">
        <f t="shared" si="7"/>
        <v>-85393298.816114143</v>
      </c>
      <c r="H38" s="352">
        <f t="shared" si="7"/>
        <v>-85393298.816114143</v>
      </c>
      <c r="I38" s="352">
        <f t="shared" si="7"/>
        <v>-85393298.816114157</v>
      </c>
      <c r="J38" s="352">
        <f t="shared" si="7"/>
        <v>-85393298.816114157</v>
      </c>
      <c r="K38" s="352">
        <f t="shared" si="7"/>
        <v>-85393298.816114157</v>
      </c>
      <c r="L38" s="352">
        <f t="shared" si="7"/>
        <v>-1060310526.0132414</v>
      </c>
      <c r="M38" s="353">
        <f t="shared" si="7"/>
        <v>0</v>
      </c>
    </row>
    <row r="39" spans="1:29" x14ac:dyDescent="0.3">
      <c r="A39" s="354" t="s">
        <v>247</v>
      </c>
      <c r="B39" s="404" t="s">
        <v>239</v>
      </c>
      <c r="C39" s="426">
        <f t="shared" ref="C39:M39" si="8">IFERROR(-C22/C36,"")</f>
        <v>2.3992856788763381</v>
      </c>
      <c r="D39" s="426">
        <f t="shared" si="8"/>
        <v>2.4827852812778008</v>
      </c>
      <c r="E39" s="426">
        <f t="shared" si="8"/>
        <v>2.5627732618432781</v>
      </c>
      <c r="F39" s="426">
        <f t="shared" si="8"/>
        <v>2.2996359992564579</v>
      </c>
      <c r="G39" s="426">
        <f t="shared" si="8"/>
        <v>2.3005808638087664</v>
      </c>
      <c r="H39" s="426">
        <f t="shared" si="8"/>
        <v>2.0270748095782491</v>
      </c>
      <c r="I39" s="426">
        <f t="shared" si="8"/>
        <v>2.1636311553384644</v>
      </c>
      <c r="J39" s="426">
        <f t="shared" si="8"/>
        <v>2.2057359926659919</v>
      </c>
      <c r="K39" s="426">
        <f t="shared" si="8"/>
        <v>2.2395041709024737</v>
      </c>
      <c r="L39" s="426">
        <f t="shared" si="8"/>
        <v>2.2938315802148397</v>
      </c>
      <c r="M39" s="427" t="str">
        <f t="shared" si="8"/>
        <v/>
      </c>
    </row>
    <row r="40" spans="1:29" x14ac:dyDescent="0.3">
      <c r="A40" s="354" t="s">
        <v>286</v>
      </c>
      <c r="B40" s="423" t="s">
        <v>239</v>
      </c>
      <c r="C40" s="424">
        <f t="shared" ref="C40:M40" si="9">C22/$B$35</f>
        <v>0.16794999752134368</v>
      </c>
      <c r="D40" s="424">
        <f t="shared" si="9"/>
        <v>0.1737949696894461</v>
      </c>
      <c r="E40" s="424">
        <f t="shared" si="9"/>
        <v>0.17939412832902948</v>
      </c>
      <c r="F40" s="424">
        <f t="shared" si="9"/>
        <v>0.1835944281971035</v>
      </c>
      <c r="G40" s="424">
        <f t="shared" si="9"/>
        <v>0.1836698626864143</v>
      </c>
      <c r="H40" s="424">
        <f t="shared" si="9"/>
        <v>0.16183415144727317</v>
      </c>
      <c r="I40" s="424">
        <f t="shared" si="9"/>
        <v>0.17273630475529189</v>
      </c>
      <c r="J40" s="424">
        <f t="shared" si="9"/>
        <v>0.17609779915526602</v>
      </c>
      <c r="K40" s="424">
        <f t="shared" si="9"/>
        <v>0.17879372554387246</v>
      </c>
      <c r="L40" s="424">
        <f t="shared" si="9"/>
        <v>0.18313102486052898</v>
      </c>
      <c r="M40" s="425">
        <f t="shared" si="9"/>
        <v>0.18521520682846365</v>
      </c>
    </row>
    <row r="41" spans="1:29" x14ac:dyDescent="0.3">
      <c r="A41" s="337" t="s">
        <v>248</v>
      </c>
      <c r="B41" s="397">
        <f>B33+B38*(B17&lt;=$D$6)</f>
        <v>-1069604922.0076392</v>
      </c>
      <c r="C41" s="397">
        <f t="shared" ref="C41:M41" si="10">C33+C38*(C17&lt;=$D$6)</f>
        <v>41812835.45946525</v>
      </c>
      <c r="D41" s="397">
        <f t="shared" si="10"/>
        <v>65693328.45946525</v>
      </c>
      <c r="E41" s="397">
        <f t="shared" si="10"/>
        <v>85197940.099465236</v>
      </c>
      <c r="F41" s="397">
        <f t="shared" si="10"/>
        <v>90801618.236685827</v>
      </c>
      <c r="G41" s="397">
        <f t="shared" si="10"/>
        <v>95901412.337741837</v>
      </c>
      <c r="H41" s="397">
        <f t="shared" si="10"/>
        <v>12279767.120818958</v>
      </c>
      <c r="I41" s="397">
        <f t="shared" si="10"/>
        <v>94606882.959557623</v>
      </c>
      <c r="J41" s="397">
        <f t="shared" si="10"/>
        <v>97694951.91507107</v>
      </c>
      <c r="K41" s="397">
        <f t="shared" si="10"/>
        <v>101460279.04969478</v>
      </c>
      <c r="L41" s="397">
        <f t="shared" si="10"/>
        <v>1589402304.2161322</v>
      </c>
      <c r="M41" s="338">
        <f t="shared" si="10"/>
        <v>0</v>
      </c>
    </row>
    <row r="42" spans="1:29" s="405" customFormat="1" ht="15" thickBot="1" x14ac:dyDescent="0.35">
      <c r="A42" s="406" t="s">
        <v>278</v>
      </c>
      <c r="B42" s="407"/>
      <c r="C42" s="408">
        <f t="shared" ref="C42:M42" si="11">((C36+C29)/-$B$41)*(C17&lt;=$D$13)</f>
        <v>3.9091850270268874E-2</v>
      </c>
      <c r="D42" s="408">
        <f t="shared" si="11"/>
        <v>6.1418311666105126E-2</v>
      </c>
      <c r="E42" s="408">
        <f t="shared" si="11"/>
        <v>7.9653653743056302E-2</v>
      </c>
      <c r="F42" s="408">
        <f t="shared" si="11"/>
        <v>8.4892670525722691E-2</v>
      </c>
      <c r="G42" s="408">
        <f t="shared" si="11"/>
        <v>8.9660593705698094E-2</v>
      </c>
      <c r="H42" s="408">
        <f t="shared" si="11"/>
        <v>1.1480656893173173E-2</v>
      </c>
      <c r="I42" s="408">
        <f t="shared" si="11"/>
        <v>8.8450306288775607E-2</v>
      </c>
      <c r="J42" s="408">
        <f t="shared" si="11"/>
        <v>9.1337418054975375E-2</v>
      </c>
      <c r="K42" s="408">
        <f t="shared" si="11"/>
        <v>9.4857715182587898E-2</v>
      </c>
      <c r="L42" s="408">
        <f t="shared" si="11"/>
        <v>0.10058742675292455</v>
      </c>
      <c r="M42" s="409">
        <f t="shared" si="11"/>
        <v>0</v>
      </c>
    </row>
    <row r="43" spans="1:29" ht="15" thickBot="1" x14ac:dyDescent="0.35"/>
    <row r="44" spans="1:29" ht="15" thickBot="1" x14ac:dyDescent="0.35">
      <c r="A44" s="82" t="s">
        <v>231</v>
      </c>
      <c r="B44" s="305"/>
      <c r="C44" s="306"/>
      <c r="E44" s="82" t="s">
        <v>260</v>
      </c>
      <c r="F44" s="305"/>
      <c r="G44" s="305"/>
      <c r="H44" s="305"/>
      <c r="I44" s="305"/>
      <c r="J44" s="305"/>
      <c r="K44" s="305"/>
      <c r="L44" s="306"/>
      <c r="M44" s="306"/>
    </row>
    <row r="45" spans="1:29" x14ac:dyDescent="0.3">
      <c r="A45" s="117" t="s">
        <v>232</v>
      </c>
      <c r="B45" s="166" t="s">
        <v>167</v>
      </c>
      <c r="C45" s="118" t="s">
        <v>233</v>
      </c>
      <c r="E45" s="541" t="s">
        <v>264</v>
      </c>
      <c r="F45" s="141" t="str">
        <f>"Unlevered IRR &amp; Equity Multiple "</f>
        <v xml:space="preserve">Unlevered IRR &amp; Equity Multiple </v>
      </c>
      <c r="G45" s="142"/>
      <c r="H45" s="142"/>
      <c r="I45" s="143"/>
      <c r="J45" s="141" t="str">
        <f>"Levered IRR &amp; Equity Multiple "</f>
        <v xml:space="preserve">Levered IRR &amp; Equity Multiple </v>
      </c>
      <c r="K45" s="142"/>
      <c r="L45" s="142"/>
      <c r="M45" s="143"/>
      <c r="S45" s="130" t="s">
        <v>265</v>
      </c>
      <c r="T45" s="130"/>
      <c r="U45" s="130"/>
      <c r="V45" s="130"/>
      <c r="W45" s="130"/>
      <c r="Y45" s="130" t="s">
        <v>266</v>
      </c>
      <c r="Z45" s="130"/>
      <c r="AA45" s="130"/>
      <c r="AB45" s="130"/>
      <c r="AC45" s="130"/>
    </row>
    <row r="46" spans="1:29" ht="15" thickBot="1" x14ac:dyDescent="0.35">
      <c r="A46" s="355" t="s">
        <v>101</v>
      </c>
      <c r="B46" s="167">
        <f>C46/$C$49</f>
        <v>0.44430390753409077</v>
      </c>
      <c r="C46" s="119">
        <f>D12</f>
        <v>1069604922.0076392</v>
      </c>
      <c r="E46" s="542"/>
      <c r="F46" s="158">
        <f t="shared" ref="F46:I51" si="12">T46</f>
        <v>3</v>
      </c>
      <c r="G46" s="160">
        <f t="shared" si="12"/>
        <v>5</v>
      </c>
      <c r="H46" s="160">
        <f t="shared" si="12"/>
        <v>7</v>
      </c>
      <c r="I46" s="159">
        <f t="shared" si="12"/>
        <v>10</v>
      </c>
      <c r="J46" s="158">
        <f t="shared" ref="J46:M51" si="13">Z46</f>
        <v>3</v>
      </c>
      <c r="K46" s="160">
        <f t="shared" si="13"/>
        <v>5</v>
      </c>
      <c r="L46" s="160">
        <f t="shared" si="13"/>
        <v>7</v>
      </c>
      <c r="M46" s="159">
        <f t="shared" si="13"/>
        <v>10</v>
      </c>
      <c r="S46" s="133" t="str">
        <f>TEXT(M4,"0.00%")&amp;" - "&amp;TEXT(M5,"0.00x")</f>
        <v>8.36% - 1.90x</v>
      </c>
      <c r="T46" s="356">
        <f>W46-7</f>
        <v>3</v>
      </c>
      <c r="U46" s="134">
        <f>W46-5</f>
        <v>5</v>
      </c>
      <c r="V46" s="134">
        <f>W46-3</f>
        <v>7</v>
      </c>
      <c r="W46" s="134">
        <v>10</v>
      </c>
      <c r="Y46" s="428" t="str">
        <f>TEXT(M7,"0.00%")&amp;" - "&amp;TEXT(M8,"0.00x")</f>
        <v>9.53% - 2.13x</v>
      </c>
      <c r="Z46" s="356">
        <f>AC46-7</f>
        <v>3</v>
      </c>
      <c r="AA46" s="134">
        <f>AC46-5</f>
        <v>5</v>
      </c>
      <c r="AB46" s="134">
        <f>AC46-3</f>
        <v>7</v>
      </c>
      <c r="AC46" s="134">
        <v>10</v>
      </c>
    </row>
    <row r="47" spans="1:29" x14ac:dyDescent="0.3">
      <c r="A47" s="355" t="s">
        <v>171</v>
      </c>
      <c r="B47" s="167">
        <f>C47/$C$49</f>
        <v>0.44430390753409077</v>
      </c>
      <c r="C47" s="119">
        <f>B5-C46</f>
        <v>1069604922.0076392</v>
      </c>
      <c r="E47" s="368" t="str">
        <f>TEXT(S47/1000000,"$#,000")&amp;"B - "&amp;TEXT(R47,"0.00%")&amp;" Going-In Cap"</f>
        <v>$2,339B - 7.68% Going-In Cap</v>
      </c>
      <c r="F47" s="150" t="str">
        <f t="shared" si="12"/>
        <v>7.24% - 1.22x</v>
      </c>
      <c r="G47" s="151" t="str">
        <f t="shared" si="12"/>
        <v>5.05% - 1.25x</v>
      </c>
      <c r="H47" s="151" t="str">
        <f t="shared" si="12"/>
        <v>6.36% - 1.45x</v>
      </c>
      <c r="I47" s="152" t="str">
        <f t="shared" si="12"/>
        <v>7.11% - 1.74x</v>
      </c>
      <c r="J47" s="150" t="str">
        <f>Z47</f>
        <v>10.05% - 1.32x</v>
      </c>
      <c r="K47" s="151" t="str">
        <f t="shared" si="13"/>
        <v>4.34% - 1.22x</v>
      </c>
      <c r="L47" s="151" t="str">
        <f t="shared" si="13"/>
        <v>6.26% - 1.46x</v>
      </c>
      <c r="M47" s="152" t="str">
        <f t="shared" si="13"/>
        <v>7.23% - 1.80x</v>
      </c>
      <c r="R47" s="197">
        <f>$B$9/S47</f>
        <v>7.679522402009864E-2</v>
      </c>
      <c r="S47" s="135">
        <f>S48+$F$52</f>
        <v>2339209844</v>
      </c>
      <c r="T47" s="138" t="str">
        <f t="dataTable" ref="T47:W51" dt2D="1" dtr="1" r1="D6" r2="B5" ca="1"/>
        <v>7.24% - 1.22x</v>
      </c>
      <c r="U47" s="137" t="str">
        <v>5.05% - 1.25x</v>
      </c>
      <c r="V47" s="138" t="str">
        <v>6.36% - 1.45x</v>
      </c>
      <c r="W47" s="137" t="str">
        <v>7.11% - 1.74x</v>
      </c>
      <c r="Y47" s="135">
        <f>Y48+$F$52</f>
        <v>2339209844</v>
      </c>
      <c r="Z47" s="138" t="str">
        <f t="dataTable" ref="Z47:AC51" dt2D="1" dtr="1" r1="D6" r2="B5"/>
        <v>10.05% - 1.32x</v>
      </c>
      <c r="AA47" s="137" t="str">
        <v>4.34% - 1.22x</v>
      </c>
      <c r="AB47" s="138" t="str">
        <v>6.26% - 1.46x</v>
      </c>
      <c r="AC47" s="137" t="str">
        <v>7.23% - 1.80x</v>
      </c>
    </row>
    <row r="48" spans="1:29" x14ac:dyDescent="0.3">
      <c r="A48" s="357" t="s">
        <v>168</v>
      </c>
      <c r="B48" s="168">
        <f>C48/$C$49</f>
        <v>0.11139218493181847</v>
      </c>
      <c r="C48" s="358">
        <f>C54-SUM(C46:C47)</f>
        <v>268162461</v>
      </c>
      <c r="E48" s="369" t="str">
        <f>TEXT(S48/1000000,"$#,000")&amp;"B - "&amp;TEXT(R48,"0.00%")&amp;" Going-In Cap"</f>
        <v>$2,239B - 8.02% Going-In Cap</v>
      </c>
      <c r="F48" s="144" t="str">
        <f t="shared" si="12"/>
        <v>8.90% - 1.28x</v>
      </c>
      <c r="G48" s="145" t="str">
        <f t="shared" si="12"/>
        <v>6.09% - 1.30x</v>
      </c>
      <c r="H48" s="145" t="str">
        <f t="shared" si="12"/>
        <v>7.15% - 1.51x</v>
      </c>
      <c r="I48" s="146" t="str">
        <f t="shared" si="12"/>
        <v>7.72% - 1.82x</v>
      </c>
      <c r="J48" s="144" t="str">
        <f t="shared" si="13"/>
        <v>13.12% - 1.43x</v>
      </c>
      <c r="K48" s="145" t="str">
        <f t="shared" si="13"/>
        <v>6.38% - 1.33x</v>
      </c>
      <c r="L48" s="145" t="str">
        <f t="shared" si="13"/>
        <v>7.78% - 1.59x</v>
      </c>
      <c r="M48" s="146" t="str">
        <f t="shared" si="13"/>
        <v>8.36% - 1.96x</v>
      </c>
      <c r="R48" s="197">
        <f t="shared" ref="R48:R51" si="14">$B$9/S48</f>
        <v>8.0224792009265564E-2</v>
      </c>
      <c r="S48" s="135">
        <f>S49+$F$52</f>
        <v>2239209844</v>
      </c>
      <c r="T48" s="138" t="str">
        <v>8.90% - 1.28x</v>
      </c>
      <c r="U48" s="137" t="str">
        <v>6.09% - 1.30x</v>
      </c>
      <c r="V48" s="138" t="str">
        <v>7.15% - 1.51x</v>
      </c>
      <c r="W48" s="137" t="str">
        <v>7.72% - 1.82x</v>
      </c>
      <c r="Y48" s="135">
        <f>Y49+$F$52</f>
        <v>2239209844</v>
      </c>
      <c r="Z48" s="138" t="str">
        <v>13.12% - 1.43x</v>
      </c>
      <c r="AA48" s="137" t="str">
        <v>6.38% - 1.33x</v>
      </c>
      <c r="AB48" s="138" t="str">
        <v>7.78% - 1.59x</v>
      </c>
      <c r="AC48" s="137" t="str">
        <v>8.36% - 1.96x</v>
      </c>
    </row>
    <row r="49" spans="1:29" ht="15" thickBot="1" x14ac:dyDescent="0.35">
      <c r="A49" s="122" t="s">
        <v>234</v>
      </c>
      <c r="B49" s="169">
        <f>SUM(B46:B48)</f>
        <v>1</v>
      </c>
      <c r="C49" s="123">
        <f>SUM(C46:C48)</f>
        <v>2407372305.0152783</v>
      </c>
      <c r="E49" s="368" t="str">
        <f>TEXT(S49/1000000,"$#,000")&amp;"B - "&amp;TEXT(R49,"0.00%")&amp;" Going-In Cap"</f>
        <v>$2,139B - 8.40% Going-In Cap</v>
      </c>
      <c r="F49" s="153" t="str">
        <f t="shared" si="12"/>
        <v>10.66% - 1.34x</v>
      </c>
      <c r="G49" s="132" t="str">
        <f t="shared" si="12"/>
        <v>7.18% - 1.37x</v>
      </c>
      <c r="H49" s="132" t="str">
        <f t="shared" si="12"/>
        <v>7.99% - 1.58x</v>
      </c>
      <c r="I49" s="154" t="str">
        <f t="shared" si="12"/>
        <v>8.36% - 1.90x</v>
      </c>
      <c r="J49" s="153" t="str">
        <f t="shared" si="13"/>
        <v>16.32% - 1.55x</v>
      </c>
      <c r="K49" s="132" t="str">
        <f t="shared" si="13"/>
        <v>8.48% - 1.45x</v>
      </c>
      <c r="L49" s="132" t="str">
        <f t="shared" si="13"/>
        <v>9.34% - 1.73x</v>
      </c>
      <c r="M49" s="154" t="str">
        <f t="shared" si="13"/>
        <v>9.53% - 2.13x</v>
      </c>
      <c r="R49" s="197">
        <f>$B$9/S49</f>
        <v>8.3974998761271596E-2</v>
      </c>
      <c r="S49" s="136">
        <v>2139209844</v>
      </c>
      <c r="T49" s="138" t="str">
        <v>10.66% - 1.34x</v>
      </c>
      <c r="U49" s="137" t="str">
        <v>7.18% - 1.37x</v>
      </c>
      <c r="V49" s="138" t="str">
        <v>7.99% - 1.58x</v>
      </c>
      <c r="W49" s="137" t="str">
        <v>8.36% - 1.90x</v>
      </c>
      <c r="Y49" s="136">
        <v>2139209844</v>
      </c>
      <c r="Z49" s="138" t="str">
        <v>16.32% - 1.55x</v>
      </c>
      <c r="AA49" s="137" t="str">
        <v>8.48% - 1.45x</v>
      </c>
      <c r="AB49" s="138" t="str">
        <v>9.34% - 1.73x</v>
      </c>
      <c r="AC49" s="137" t="str">
        <v>9.53% - 2.13x</v>
      </c>
    </row>
    <row r="50" spans="1:29" x14ac:dyDescent="0.3">
      <c r="A50" s="117" t="s">
        <v>235</v>
      </c>
      <c r="B50" s="166" t="s">
        <v>167</v>
      </c>
      <c r="C50" s="118" t="s">
        <v>233</v>
      </c>
      <c r="E50" s="370" t="str">
        <f>TEXT(S50/1000000,"$#,000")&amp;"B - "&amp;TEXT(R50,"0.00%")&amp;" Going-In Cap"</f>
        <v>$2,039B - 8.81% Going-In Cap</v>
      </c>
      <c r="F50" s="147" t="str">
        <f t="shared" si="12"/>
        <v>12.53% - 1.40x</v>
      </c>
      <c r="G50" s="148" t="str">
        <f t="shared" si="12"/>
        <v>8.35% - 1.43x</v>
      </c>
      <c r="H50" s="148" t="str">
        <f t="shared" si="12"/>
        <v>8.88% - 1.66x</v>
      </c>
      <c r="I50" s="149" t="str">
        <f t="shared" si="12"/>
        <v>9.04% - 2.00x</v>
      </c>
      <c r="J50" s="147" t="str">
        <f t="shared" si="13"/>
        <v>19.66% - 1.68x</v>
      </c>
      <c r="K50" s="148" t="str">
        <f t="shared" si="13"/>
        <v>10.64% - 1.58x</v>
      </c>
      <c r="L50" s="148" t="str">
        <f t="shared" si="13"/>
        <v>10.95% - 1.88x</v>
      </c>
      <c r="M50" s="149" t="str">
        <f t="shared" si="13"/>
        <v>10.75% - 2.31x</v>
      </c>
      <c r="R50" s="197">
        <f t="shared" si="14"/>
        <v>8.809301530617758E-2</v>
      </c>
      <c r="S50" s="135">
        <f>S49-$F$52</f>
        <v>2039209844</v>
      </c>
      <c r="T50" s="138" t="str">
        <v>12.53% - 1.40x</v>
      </c>
      <c r="U50" s="137" t="str">
        <v>8.35% - 1.43x</v>
      </c>
      <c r="V50" s="138" t="str">
        <v>8.88% - 1.66x</v>
      </c>
      <c r="W50" s="137" t="str">
        <v>9.04% - 2.00x</v>
      </c>
      <c r="Y50" s="135">
        <f>Y49-$F$52</f>
        <v>2039209844</v>
      </c>
      <c r="Z50" s="138" t="str">
        <v>19.66% - 1.68x</v>
      </c>
      <c r="AA50" s="137" t="str">
        <v>10.64% - 1.58x</v>
      </c>
      <c r="AB50" s="138" t="str">
        <v>10.95% - 1.88x</v>
      </c>
      <c r="AC50" s="137" t="str">
        <v>10.75% - 2.31x</v>
      </c>
    </row>
    <row r="51" spans="1:29" ht="15" thickBot="1" x14ac:dyDescent="0.35">
      <c r="A51" s="359" t="s">
        <v>226</v>
      </c>
      <c r="B51" s="167">
        <f>C51/$C$54</f>
        <v>0.88860781506818154</v>
      </c>
      <c r="C51" s="360">
        <f>-B33</f>
        <v>2139209844.0152783</v>
      </c>
      <c r="E51" s="371" t="str">
        <f>TEXT(S51/1000000,"$#,000")&amp;"B - "&amp;TEXT(R51,"0.00%")&amp;" Going-In Cap"</f>
        <v>$1,939B - 9.26% Going-In Cap</v>
      </c>
      <c r="F51" s="155" t="str">
        <f t="shared" si="12"/>
        <v>14.54% - 1.47x</v>
      </c>
      <c r="G51" s="156" t="str">
        <f t="shared" si="12"/>
        <v>9.58% - 1.51x</v>
      </c>
      <c r="H51" s="156" t="str">
        <f t="shared" si="12"/>
        <v>9.82% - 1.75x</v>
      </c>
      <c r="I51" s="157" t="str">
        <f t="shared" si="12"/>
        <v>9.77% - 2.10x</v>
      </c>
      <c r="J51" s="155" t="str">
        <f t="shared" si="13"/>
        <v>23.17% - 1.83x</v>
      </c>
      <c r="K51" s="156" t="str">
        <f t="shared" si="13"/>
        <v>12.89% - 1.73x</v>
      </c>
      <c r="L51" s="156" t="str">
        <f t="shared" si="13"/>
        <v>12.64% - 2.05x</v>
      </c>
      <c r="M51" s="157" t="str">
        <f t="shared" si="13"/>
        <v>12.02% - 2.52x</v>
      </c>
      <c r="R51" s="197">
        <f t="shared" si="14"/>
        <v>9.2635742622601908E-2</v>
      </c>
      <c r="S51" s="135">
        <f>S50-$F$52</f>
        <v>1939209844</v>
      </c>
      <c r="T51" s="138" t="str">
        <v>14.54% - 1.47x</v>
      </c>
      <c r="U51" s="137" t="str">
        <v>9.58% - 1.51x</v>
      </c>
      <c r="V51" s="138" t="str">
        <v>9.82% - 1.75x</v>
      </c>
      <c r="W51" s="137" t="str">
        <v>9.77% - 2.10x</v>
      </c>
      <c r="Y51" s="135">
        <f>Y50-$F$52</f>
        <v>1939209844</v>
      </c>
      <c r="Z51" s="138" t="str">
        <v>23.17% - 1.83x</v>
      </c>
      <c r="AA51" s="137" t="str">
        <v>12.89% - 1.73x</v>
      </c>
      <c r="AB51" s="138" t="str">
        <v>12.64% - 2.05x</v>
      </c>
      <c r="AC51" s="137" t="str">
        <v>12.02% - 2.52x</v>
      </c>
    </row>
    <row r="52" spans="1:29" x14ac:dyDescent="0.3">
      <c r="A52" s="359" t="s">
        <v>250</v>
      </c>
      <c r="B52" s="362">
        <f>C52/$C$54</f>
        <v>0.11139218493181847</v>
      </c>
      <c r="C52" s="360">
        <f>-SUMIF($C$17:$M$17,"&lt;="&amp;G3,C27:M27)</f>
        <v>268162461</v>
      </c>
      <c r="E52" s="165" t="s">
        <v>267</v>
      </c>
      <c r="F52" s="375">
        <v>100000000</v>
      </c>
      <c r="G52" s="361"/>
      <c r="H52" s="361"/>
      <c r="I52" s="361"/>
    </row>
    <row r="53" spans="1:29" x14ac:dyDescent="0.3">
      <c r="A53" s="363"/>
      <c r="B53" s="364"/>
      <c r="C53" s="477"/>
    </row>
    <row r="54" spans="1:29" ht="15" thickBot="1" x14ac:dyDescent="0.35">
      <c r="A54" s="120" t="s">
        <v>236</v>
      </c>
      <c r="B54" s="170">
        <f>SUM(B51:B53)</f>
        <v>1</v>
      </c>
      <c r="C54" s="121">
        <f>SUM(C51:C53)</f>
        <v>2407372305.0152783</v>
      </c>
    </row>
    <row r="55" spans="1:29" ht="15" thickBot="1" x14ac:dyDescent="0.35"/>
    <row r="56" spans="1:29" ht="15" thickBot="1" x14ac:dyDescent="0.35">
      <c r="A56" s="410" t="s">
        <v>277</v>
      </c>
      <c r="B56" s="411"/>
      <c r="C56" s="411"/>
      <c r="D56" s="411"/>
      <c r="E56" s="411"/>
      <c r="F56" s="411"/>
      <c r="G56" s="412"/>
      <c r="J56" s="413" t="s">
        <v>280</v>
      </c>
      <c r="K56" s="414"/>
      <c r="L56" s="414"/>
      <c r="M56" s="415"/>
    </row>
    <row r="57" spans="1:29" x14ac:dyDescent="0.3">
      <c r="A57" s="83"/>
      <c r="B57" s="282"/>
      <c r="C57" s="393" t="s">
        <v>223</v>
      </c>
      <c r="D57" s="393" t="s">
        <v>68</v>
      </c>
      <c r="E57" s="393" t="s">
        <v>69</v>
      </c>
      <c r="F57" s="393" t="s">
        <v>70</v>
      </c>
      <c r="G57" s="395" t="s">
        <v>71</v>
      </c>
      <c r="J57" s="416" t="s">
        <v>279</v>
      </c>
      <c r="K57" s="416" t="s">
        <v>284</v>
      </c>
      <c r="L57" s="416" t="s">
        <v>282</v>
      </c>
      <c r="M57" s="416" t="s">
        <v>283</v>
      </c>
    </row>
    <row r="58" spans="1:29" ht="15" thickBot="1" x14ac:dyDescent="0.35">
      <c r="A58" s="77"/>
      <c r="B58" s="283"/>
      <c r="C58" s="394"/>
      <c r="D58" s="394"/>
      <c r="E58" s="394"/>
      <c r="F58" s="394"/>
      <c r="G58" s="396"/>
      <c r="J58" s="420">
        <f>C22/-B33</f>
        <v>8.397499876067184E-2</v>
      </c>
      <c r="K58" s="420">
        <f>AVERAGEIF($C$17:$M$17,"&lt;="&amp;D6,C42:M42)</f>
        <v>7.4143060308328762E-2</v>
      </c>
      <c r="L58" s="420">
        <f>IRR(B33:M33)</f>
        <v>8.3618202258643581E-2</v>
      </c>
      <c r="M58" s="420">
        <f>IRR(B41:M41)</f>
        <v>9.5391292365587521E-2</v>
      </c>
    </row>
    <row r="59" spans="1:29" x14ac:dyDescent="0.3">
      <c r="A59" s="103" t="s">
        <v>80</v>
      </c>
      <c r="B59" s="372">
        <v>0.05</v>
      </c>
      <c r="C59" s="284">
        <f>-'Waterfall Model'!$G$11*B59</f>
        <v>53480246.100381963</v>
      </c>
      <c r="D59" s="372">
        <v>0.1</v>
      </c>
      <c r="E59" s="373">
        <v>0.32500000000000001</v>
      </c>
      <c r="F59" s="372">
        <v>0.15</v>
      </c>
      <c r="G59" s="374">
        <v>0.46</v>
      </c>
      <c r="J59" s="416" t="s">
        <v>281</v>
      </c>
      <c r="K59" s="416" t="s">
        <v>285</v>
      </c>
      <c r="L59" s="416" t="s">
        <v>247</v>
      </c>
      <c r="M59" s="416" t="s">
        <v>286</v>
      </c>
    </row>
    <row r="60" spans="1:29" ht="15" thickBot="1" x14ac:dyDescent="0.35">
      <c r="A60" s="104" t="s">
        <v>224</v>
      </c>
      <c r="B60" s="78">
        <f>1-B59</f>
        <v>0.95</v>
      </c>
      <c r="C60" s="102">
        <f>-'Waterfall Model'!$G$11*B60</f>
        <v>1016124675.9072572</v>
      </c>
      <c r="D60" s="78">
        <f>D59</f>
        <v>0.1</v>
      </c>
      <c r="E60" s="79">
        <f>1-E59</f>
        <v>0.67500000000000004</v>
      </c>
      <c r="F60" s="78">
        <f>D59</f>
        <v>0.1</v>
      </c>
      <c r="G60" s="80">
        <f>1-G59</f>
        <v>0.54</v>
      </c>
      <c r="J60" s="422">
        <f>SUMIF(B41:M41,"&gt;"&amp;0,B41:M41)/-SUMIF(B41:M41,"&lt;"&amp;0,B41:M41)</f>
        <v>2.1268145583924785</v>
      </c>
      <c r="K60" s="419">
        <f>B35/-B33</f>
        <v>0.5</v>
      </c>
      <c r="L60" s="422">
        <f>C22/-C38</f>
        <v>2.3992856788763381</v>
      </c>
      <c r="M60" s="420">
        <f>C22/B35</f>
        <v>0.16794999752134368</v>
      </c>
    </row>
  </sheetData>
  <mergeCells count="3">
    <mergeCell ref="A29:B29"/>
    <mergeCell ref="A31:B31"/>
    <mergeCell ref="E45:E46"/>
  </mergeCells>
  <pageMargins left="0.25" right="0.25" top="0.75" bottom="0.75" header="0.3" footer="0.3"/>
  <pageSetup scale="46"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17E8-40A3-4D26-8BC5-0E464E78E473}">
  <sheetPr>
    <tabColor rgb="FF00B050"/>
    <pageSetUpPr autoPageBreaks="0"/>
  </sheetPr>
  <dimension ref="A1:M82"/>
  <sheetViews>
    <sheetView showGridLines="0" zoomScale="70" zoomScaleNormal="70" workbookViewId="0">
      <selection activeCell="D5" sqref="D5"/>
    </sheetView>
  </sheetViews>
  <sheetFormatPr defaultRowHeight="14.4" outlineLevelRow="1" x14ac:dyDescent="0.3"/>
  <cols>
    <col min="1" max="1" width="32.109375" bestFit="1" customWidth="1"/>
    <col min="2" max="2" width="20.6640625" customWidth="1"/>
    <col min="3" max="3" width="26.6640625" bestFit="1" customWidth="1"/>
    <col min="4" max="4" width="20.6640625" customWidth="1"/>
    <col min="5" max="5" width="26.88671875" bestFit="1" customWidth="1"/>
    <col min="6" max="7" width="20.6640625" customWidth="1"/>
    <col min="8" max="8" width="17.33203125" bestFit="1" customWidth="1"/>
    <col min="9" max="9" width="17.44140625" bestFit="1" customWidth="1"/>
    <col min="10" max="10" width="24.109375" bestFit="1" customWidth="1"/>
    <col min="11" max="11" width="22.33203125" bestFit="1" customWidth="1"/>
    <col min="12" max="12" width="23.6640625" bestFit="1" customWidth="1"/>
    <col min="13" max="13" width="17.88671875" bestFit="1" customWidth="1"/>
    <col min="14" max="15" width="13.44140625" bestFit="1" customWidth="1"/>
    <col min="16" max="17" width="12.33203125" bestFit="1" customWidth="1"/>
    <col min="18" max="18" width="13.6640625" bestFit="1" customWidth="1"/>
    <col min="19" max="19" width="17.6640625" bestFit="1" customWidth="1"/>
    <col min="20" max="20" width="12.6640625" customWidth="1"/>
    <col min="21" max="24" width="13.44140625" bestFit="1" customWidth="1"/>
    <col min="25" max="25" width="13.5546875" bestFit="1" customWidth="1"/>
    <col min="27" max="28" width="13.44140625" bestFit="1" customWidth="1"/>
    <col min="29" max="29" width="13.5546875" bestFit="1" customWidth="1"/>
    <col min="30" max="30" width="13.44140625" bestFit="1" customWidth="1"/>
    <col min="31" max="31" width="13.5546875" bestFit="1" customWidth="1"/>
    <col min="32" max="32" width="13.44140625" bestFit="1" customWidth="1"/>
  </cols>
  <sheetData>
    <row r="1" spans="1:13" ht="15" thickBot="1" x14ac:dyDescent="0.35">
      <c r="A1" s="82" t="s">
        <v>296</v>
      </c>
      <c r="B1" s="305"/>
      <c r="C1" s="305"/>
      <c r="D1" s="306"/>
    </row>
    <row r="2" spans="1:13" x14ac:dyDescent="0.3">
      <c r="A2" s="457" t="s">
        <v>292</v>
      </c>
      <c r="B2" s="451">
        <v>129400000</v>
      </c>
      <c r="C2" s="307" t="s">
        <v>263</v>
      </c>
      <c r="D2" s="456">
        <f>'Building Analysis'!D6</f>
        <v>10</v>
      </c>
    </row>
    <row r="3" spans="1:13" x14ac:dyDescent="0.3">
      <c r="A3" s="310" t="s">
        <v>293</v>
      </c>
      <c r="B3" s="455">
        <f>AVERAGEIF($C$8:$M$8,"&lt;="&amp;$D$2,$C$10:$M$10)</f>
        <v>1.9999999999999997E-2</v>
      </c>
      <c r="C3" s="310" t="s">
        <v>119</v>
      </c>
      <c r="D3" s="433">
        <v>0.3</v>
      </c>
    </row>
    <row r="4" spans="1:13" x14ac:dyDescent="0.3">
      <c r="A4" s="319" t="s">
        <v>297</v>
      </c>
      <c r="B4" s="452">
        <v>0.09</v>
      </c>
      <c r="C4" s="319" t="s">
        <v>152</v>
      </c>
      <c r="D4" s="378">
        <v>0.08</v>
      </c>
      <c r="F4" s="197"/>
    </row>
    <row r="5" spans="1:13" ht="15" thickBot="1" x14ac:dyDescent="0.35">
      <c r="A5" s="161" t="s">
        <v>301</v>
      </c>
      <c r="B5" s="453">
        <f>SUM(C18:M18)</f>
        <v>1234926515.0152783</v>
      </c>
      <c r="C5" s="161" t="s">
        <v>299</v>
      </c>
      <c r="D5" s="454">
        <f>INDEX($B$13:$M$13,MATCH($D$2+1,$B$8:$M$8,0))/D4</f>
        <v>1407810560.6798451</v>
      </c>
      <c r="F5" s="193"/>
      <c r="J5" s="304"/>
    </row>
    <row r="6" spans="1:13" ht="15" thickBot="1" x14ac:dyDescent="0.35">
      <c r="A6" s="161" t="s">
        <v>225</v>
      </c>
      <c r="B6" s="478">
        <f>C13/B5</f>
        <v>7.4815463816368818E-2</v>
      </c>
      <c r="C6" s="479"/>
      <c r="D6" s="454"/>
      <c r="F6" s="193"/>
      <c r="J6" s="304"/>
    </row>
    <row r="7" spans="1:13" ht="15" thickBot="1" x14ac:dyDescent="0.35"/>
    <row r="8" spans="1:13" x14ac:dyDescent="0.3">
      <c r="A8" s="437"/>
      <c r="B8" s="458">
        <f>Proforma!E3</f>
        <v>0</v>
      </c>
      <c r="C8" s="329">
        <f>Proforma!F3</f>
        <v>1</v>
      </c>
      <c r="D8" s="329">
        <f>Proforma!G3</f>
        <v>2</v>
      </c>
      <c r="E8" s="329">
        <f>Proforma!H3</f>
        <v>3</v>
      </c>
      <c r="F8" s="329">
        <f>Proforma!I3</f>
        <v>4</v>
      </c>
      <c r="G8" s="329">
        <f>Proforma!J3</f>
        <v>5</v>
      </c>
      <c r="H8" s="329">
        <f>Proforma!K3</f>
        <v>6</v>
      </c>
      <c r="I8" s="329">
        <f>Proforma!L3</f>
        <v>7</v>
      </c>
      <c r="J8" s="329">
        <f>Proforma!M3</f>
        <v>8</v>
      </c>
      <c r="K8" s="329">
        <f>Proforma!N3</f>
        <v>9</v>
      </c>
      <c r="L8" s="329">
        <f>Proforma!O3</f>
        <v>10</v>
      </c>
      <c r="M8" s="438">
        <f>Proforma!P3</f>
        <v>11</v>
      </c>
    </row>
    <row r="9" spans="1:13" x14ac:dyDescent="0.3">
      <c r="A9" s="331" t="s">
        <v>295</v>
      </c>
      <c r="B9" s="459">
        <f>EOMONTH(C9,-12)</f>
        <v>45291</v>
      </c>
      <c r="C9" s="459">
        <f>Proforma!F4</f>
        <v>45657</v>
      </c>
      <c r="D9" s="459">
        <f>Proforma!G4</f>
        <v>46022</v>
      </c>
      <c r="E9" s="459">
        <f>Proforma!H4</f>
        <v>46387</v>
      </c>
      <c r="F9" s="459">
        <f>Proforma!I4</f>
        <v>46752</v>
      </c>
      <c r="G9" s="459">
        <f>Proforma!J4</f>
        <v>47118</v>
      </c>
      <c r="H9" s="459">
        <f>Proforma!K4</f>
        <v>47483</v>
      </c>
      <c r="I9" s="459">
        <f>Proforma!L4</f>
        <v>47848</v>
      </c>
      <c r="J9" s="459">
        <f>Proforma!M4</f>
        <v>48213</v>
      </c>
      <c r="K9" s="459">
        <f>Proforma!N4</f>
        <v>48579</v>
      </c>
      <c r="L9" s="459">
        <f>Proforma!O4</f>
        <v>48944</v>
      </c>
      <c r="M9" s="460">
        <f>Proforma!P4</f>
        <v>49309</v>
      </c>
    </row>
    <row r="10" spans="1:13" x14ac:dyDescent="0.3">
      <c r="A10" s="439" t="s">
        <v>291</v>
      </c>
      <c r="C10" s="392">
        <v>0.02</v>
      </c>
      <c r="D10" s="392">
        <v>0.02</v>
      </c>
      <c r="E10" s="392">
        <v>0.02</v>
      </c>
      <c r="F10" s="392">
        <v>0.02</v>
      </c>
      <c r="G10" s="392">
        <v>0.02</v>
      </c>
      <c r="H10" s="392">
        <v>0.02</v>
      </c>
      <c r="I10" s="392">
        <v>0.02</v>
      </c>
      <c r="J10" s="392">
        <v>0.02</v>
      </c>
      <c r="K10" s="392">
        <v>0.02</v>
      </c>
      <c r="L10" s="392">
        <v>0.02</v>
      </c>
      <c r="M10" s="392">
        <v>0.02</v>
      </c>
    </row>
    <row r="11" spans="1:13" x14ac:dyDescent="0.3">
      <c r="A11" s="309" t="s">
        <v>290</v>
      </c>
      <c r="B11" s="440"/>
      <c r="C11" s="440">
        <f>$B$2*(1+C10)</f>
        <v>131988000</v>
      </c>
      <c r="D11" s="440">
        <f t="shared" ref="D11:M11" si="0">C11*(1+D10)</f>
        <v>134627760</v>
      </c>
      <c r="E11" s="440">
        <f t="shared" si="0"/>
        <v>137320315.19999999</v>
      </c>
      <c r="F11" s="440">
        <f t="shared" si="0"/>
        <v>140066721.50399998</v>
      </c>
      <c r="G11" s="441">
        <f t="shared" si="0"/>
        <v>142868055.93407997</v>
      </c>
      <c r="H11" s="441">
        <f t="shared" si="0"/>
        <v>145725417.05276158</v>
      </c>
      <c r="I11" s="441">
        <f t="shared" si="0"/>
        <v>148639925.39381683</v>
      </c>
      <c r="J11" s="441">
        <f t="shared" si="0"/>
        <v>151612723.90169317</v>
      </c>
      <c r="K11" s="441">
        <f t="shared" si="0"/>
        <v>154644978.37972704</v>
      </c>
      <c r="L11" s="441">
        <f t="shared" si="0"/>
        <v>157737877.94732159</v>
      </c>
      <c r="M11" s="442">
        <f t="shared" si="0"/>
        <v>160892635.50626802</v>
      </c>
    </row>
    <row r="12" spans="1:13" x14ac:dyDescent="0.3">
      <c r="A12" s="309" t="s">
        <v>137</v>
      </c>
      <c r="B12" s="434"/>
      <c r="C12" s="434">
        <f t="shared" ref="C12:M12" si="1">C11*$D$3</f>
        <v>39596400</v>
      </c>
      <c r="D12" s="434">
        <f t="shared" si="1"/>
        <v>40388328</v>
      </c>
      <c r="E12" s="434">
        <f t="shared" si="1"/>
        <v>41196094.559999995</v>
      </c>
      <c r="F12" s="434">
        <f t="shared" si="1"/>
        <v>42020016.451199993</v>
      </c>
      <c r="G12" s="434">
        <f t="shared" si="1"/>
        <v>42860416.780223988</v>
      </c>
      <c r="H12" s="434">
        <f t="shared" si="1"/>
        <v>43717625.115828477</v>
      </c>
      <c r="I12" s="434">
        <f t="shared" si="1"/>
        <v>44591977.618145049</v>
      </c>
      <c r="J12" s="434">
        <f t="shared" si="1"/>
        <v>45483817.170507945</v>
      </c>
      <c r="K12" s="434">
        <f t="shared" si="1"/>
        <v>46393493.513918109</v>
      </c>
      <c r="L12" s="434">
        <f t="shared" si="1"/>
        <v>47321363.384196475</v>
      </c>
      <c r="M12" s="443">
        <f t="shared" si="1"/>
        <v>48267790.651880406</v>
      </c>
    </row>
    <row r="13" spans="1:13" ht="15" thickBot="1" x14ac:dyDescent="0.35">
      <c r="A13" s="444" t="s">
        <v>294</v>
      </c>
      <c r="B13" s="445"/>
      <c r="C13" s="445">
        <f t="shared" ref="C13:M13" si="2">C11-C12</f>
        <v>92391600</v>
      </c>
      <c r="D13" s="445">
        <f t="shared" si="2"/>
        <v>94239432</v>
      </c>
      <c r="E13" s="445">
        <f t="shared" si="2"/>
        <v>96124220.639999986</v>
      </c>
      <c r="F13" s="445">
        <f t="shared" si="2"/>
        <v>98046705.052799985</v>
      </c>
      <c r="G13" s="445">
        <f t="shared" si="2"/>
        <v>100007639.15385598</v>
      </c>
      <c r="H13" s="445">
        <f t="shared" si="2"/>
        <v>102007791.9369331</v>
      </c>
      <c r="I13" s="445">
        <f t="shared" si="2"/>
        <v>104047947.77567178</v>
      </c>
      <c r="J13" s="445">
        <f t="shared" si="2"/>
        <v>106128906.73118523</v>
      </c>
      <c r="K13" s="445">
        <f t="shared" si="2"/>
        <v>108251484.86580893</v>
      </c>
      <c r="L13" s="445">
        <f t="shared" si="2"/>
        <v>110416514.56312512</v>
      </c>
      <c r="M13" s="446">
        <f t="shared" si="2"/>
        <v>112624844.85438761</v>
      </c>
    </row>
    <row r="14" spans="1:13" x14ac:dyDescent="0.3">
      <c r="A14" s="432" t="s">
        <v>305</v>
      </c>
      <c r="B14" s="432">
        <f>$D$5*(B8=$D$2)</f>
        <v>0</v>
      </c>
      <c r="C14" s="432">
        <f t="shared" ref="C14:M14" si="3">$D$5*(C8=$D$2)</f>
        <v>0</v>
      </c>
      <c r="D14" s="432">
        <f t="shared" si="3"/>
        <v>0</v>
      </c>
      <c r="E14" s="432">
        <f t="shared" si="3"/>
        <v>0</v>
      </c>
      <c r="F14" s="432">
        <f t="shared" si="3"/>
        <v>0</v>
      </c>
      <c r="G14" s="432">
        <f t="shared" si="3"/>
        <v>0</v>
      </c>
      <c r="H14" s="432">
        <f t="shared" si="3"/>
        <v>0</v>
      </c>
      <c r="I14" s="432">
        <f t="shared" si="3"/>
        <v>0</v>
      </c>
      <c r="J14" s="432">
        <f t="shared" si="3"/>
        <v>0</v>
      </c>
      <c r="K14" s="432">
        <f t="shared" si="3"/>
        <v>0</v>
      </c>
      <c r="L14" s="432">
        <f t="shared" si="3"/>
        <v>1407810560.6798451</v>
      </c>
      <c r="M14" s="432">
        <f t="shared" si="3"/>
        <v>0</v>
      </c>
    </row>
    <row r="16" spans="1:13" outlineLevel="1" x14ac:dyDescent="0.3">
      <c r="A16" s="198" t="s">
        <v>300</v>
      </c>
      <c r="B16" s="432"/>
      <c r="C16" s="432">
        <f>(C13/(1+$B$4)^C$8)*(C8&lt;=$D$2)</f>
        <v>84762935.779816508</v>
      </c>
      <c r="D16" s="432">
        <f t="shared" ref="D16:M16" si="4">(D13/(1+$B$4)^D$8)*(D8&lt;=$D$2)</f>
        <v>79319444.491204441</v>
      </c>
      <c r="E16" s="432">
        <f t="shared" si="4"/>
        <v>74225535.211952761</v>
      </c>
      <c r="F16" s="432">
        <f t="shared" si="4"/>
        <v>69458757.721276894</v>
      </c>
      <c r="G16" s="432">
        <f t="shared" si="4"/>
        <v>64998103.555690289</v>
      </c>
      <c r="H16" s="432">
        <f t="shared" si="4"/>
        <v>60823913.419086322</v>
      </c>
      <c r="I16" s="432">
        <f t="shared" si="4"/>
        <v>56917790.53896153</v>
      </c>
      <c r="J16" s="432">
        <f t="shared" si="4"/>
        <v>53262519.586918131</v>
      </c>
      <c r="K16" s="432">
        <f t="shared" si="4"/>
        <v>49841990.806106865</v>
      </c>
      <c r="L16" s="432">
        <f t="shared" si="4"/>
        <v>46641129.011219271</v>
      </c>
      <c r="M16" s="432">
        <f t="shared" si="4"/>
        <v>0</v>
      </c>
    </row>
    <row r="17" spans="1:13" x14ac:dyDescent="0.3">
      <c r="A17" s="198" t="s">
        <v>306</v>
      </c>
      <c r="C17" s="434">
        <f t="shared" ref="C17:M17" si="5">C14/(1+$B$4)^C$8</f>
        <v>0</v>
      </c>
      <c r="D17" s="434">
        <f t="shared" si="5"/>
        <v>0</v>
      </c>
      <c r="E17" s="434">
        <f t="shared" si="5"/>
        <v>0</v>
      </c>
      <c r="F17" s="434">
        <f t="shared" si="5"/>
        <v>0</v>
      </c>
      <c r="G17" s="434">
        <f t="shared" si="5"/>
        <v>0</v>
      </c>
      <c r="H17" s="434">
        <f t="shared" si="5"/>
        <v>0</v>
      </c>
      <c r="I17" s="434">
        <f t="shared" si="5"/>
        <v>0</v>
      </c>
      <c r="J17" s="434">
        <f t="shared" si="5"/>
        <v>0</v>
      </c>
      <c r="K17" s="434">
        <f t="shared" si="5"/>
        <v>0</v>
      </c>
      <c r="L17" s="434">
        <f t="shared" si="5"/>
        <v>594674394.89304554</v>
      </c>
      <c r="M17" s="434">
        <f t="shared" si="5"/>
        <v>0</v>
      </c>
    </row>
    <row r="18" spans="1:13" x14ac:dyDescent="0.3">
      <c r="A18" s="52" t="s">
        <v>307</v>
      </c>
      <c r="B18" s="37"/>
      <c r="C18" s="435">
        <f>SUM(C16:C17)</f>
        <v>84762935.779816508</v>
      </c>
      <c r="D18" s="435">
        <f t="shared" ref="D18:M18" si="6">SUM(D16:D17)</f>
        <v>79319444.491204441</v>
      </c>
      <c r="E18" s="435">
        <f t="shared" si="6"/>
        <v>74225535.211952761</v>
      </c>
      <c r="F18" s="435">
        <f t="shared" si="6"/>
        <v>69458757.721276894</v>
      </c>
      <c r="G18" s="435">
        <f t="shared" si="6"/>
        <v>64998103.555690289</v>
      </c>
      <c r="H18" s="435">
        <f t="shared" si="6"/>
        <v>60823913.419086322</v>
      </c>
      <c r="I18" s="435">
        <f t="shared" si="6"/>
        <v>56917790.53896153</v>
      </c>
      <c r="J18" s="435">
        <f t="shared" si="6"/>
        <v>53262519.586918131</v>
      </c>
      <c r="K18" s="435">
        <f t="shared" si="6"/>
        <v>49841990.806106865</v>
      </c>
      <c r="L18" s="435">
        <f t="shared" si="6"/>
        <v>641315523.90426481</v>
      </c>
      <c r="M18" s="435">
        <f t="shared" si="6"/>
        <v>0</v>
      </c>
    </row>
    <row r="21" spans="1:13" x14ac:dyDescent="0.3">
      <c r="A21" s="198"/>
      <c r="B21" s="432"/>
    </row>
    <row r="46" spans="1:3" x14ac:dyDescent="0.3">
      <c r="A46" s="450" t="s">
        <v>298</v>
      </c>
      <c r="B46" s="450"/>
      <c r="C46" s="450"/>
    </row>
    <row r="47" spans="1:3" s="447" customFormat="1" x14ac:dyDescent="0.3">
      <c r="A47" s="448" t="s">
        <v>288</v>
      </c>
      <c r="B47" s="447" t="s">
        <v>308</v>
      </c>
      <c r="C47" s="447" t="s">
        <v>289</v>
      </c>
    </row>
    <row r="48" spans="1:3" s="447" customFormat="1" x14ac:dyDescent="0.3">
      <c r="A48" s="447">
        <v>2001</v>
      </c>
      <c r="B48" s="447">
        <v>25</v>
      </c>
    </row>
    <row r="49" spans="1:3" s="447" customFormat="1" x14ac:dyDescent="0.3">
      <c r="A49" s="447">
        <f>A48+1</f>
        <v>2002</v>
      </c>
      <c r="B49" s="447">
        <v>29.6</v>
      </c>
    </row>
    <row r="50" spans="1:3" s="447" customFormat="1" x14ac:dyDescent="0.3">
      <c r="A50" s="447">
        <f t="shared" ref="A50:A81" si="7">A49+1</f>
        <v>2003</v>
      </c>
      <c r="B50" s="447">
        <v>33.4</v>
      </c>
    </row>
    <row r="51" spans="1:3" s="447" customFormat="1" x14ac:dyDescent="0.3">
      <c r="A51" s="447">
        <f t="shared" si="7"/>
        <v>2004</v>
      </c>
      <c r="B51" s="447">
        <v>40</v>
      </c>
    </row>
    <row r="52" spans="1:3" s="447" customFormat="1" x14ac:dyDescent="0.3">
      <c r="A52" s="447">
        <f t="shared" si="7"/>
        <v>2005</v>
      </c>
      <c r="B52" s="447">
        <v>50.1</v>
      </c>
    </row>
    <row r="53" spans="1:3" s="447" customFormat="1" x14ac:dyDescent="0.3">
      <c r="A53" s="447">
        <f t="shared" si="7"/>
        <v>2006</v>
      </c>
      <c r="B53" s="447">
        <v>56.3</v>
      </c>
    </row>
    <row r="54" spans="1:3" s="447" customFormat="1" x14ac:dyDescent="0.3">
      <c r="A54" s="447">
        <f t="shared" si="7"/>
        <v>2007</v>
      </c>
      <c r="B54" s="447">
        <v>62.9</v>
      </c>
    </row>
    <row r="55" spans="1:3" s="447" customFormat="1" x14ac:dyDescent="0.3">
      <c r="A55" s="447">
        <f t="shared" si="7"/>
        <v>2008</v>
      </c>
      <c r="B55" s="447">
        <v>72.2</v>
      </c>
    </row>
    <row r="56" spans="1:3" s="447" customFormat="1" x14ac:dyDescent="0.3">
      <c r="A56" s="447">
        <f t="shared" si="7"/>
        <v>2009</v>
      </c>
      <c r="B56" s="447">
        <v>71.599999999999994</v>
      </c>
    </row>
    <row r="57" spans="1:3" s="447" customFormat="1" x14ac:dyDescent="0.3">
      <c r="A57" s="447">
        <f t="shared" si="7"/>
        <v>2010</v>
      </c>
      <c r="B57" s="447">
        <v>78.900000000000006</v>
      </c>
    </row>
    <row r="58" spans="1:3" s="447" customFormat="1" x14ac:dyDescent="0.3">
      <c r="A58" s="447">
        <f t="shared" si="7"/>
        <v>2011</v>
      </c>
      <c r="B58" s="447">
        <v>80.599999999999994</v>
      </c>
    </row>
    <row r="59" spans="1:3" s="447" customFormat="1" x14ac:dyDescent="0.3">
      <c r="A59" s="447">
        <f t="shared" si="7"/>
        <v>2012</v>
      </c>
      <c r="B59" s="447">
        <v>91.9</v>
      </c>
    </row>
    <row r="60" spans="1:3" s="447" customFormat="1" x14ac:dyDescent="0.3">
      <c r="A60" s="447">
        <f t="shared" si="7"/>
        <v>2013</v>
      </c>
      <c r="B60" s="447">
        <v>101.8</v>
      </c>
      <c r="C60" s="521"/>
    </row>
    <row r="61" spans="1:3" s="447" customFormat="1" x14ac:dyDescent="0.3">
      <c r="A61" s="447">
        <f t="shared" si="7"/>
        <v>2014</v>
      </c>
      <c r="B61" s="447">
        <v>111.5</v>
      </c>
      <c r="C61" s="521"/>
    </row>
    <row r="62" spans="1:3" s="447" customFormat="1" x14ac:dyDescent="0.3">
      <c r="A62" s="447">
        <f t="shared" si="7"/>
        <v>2015</v>
      </c>
      <c r="B62" s="447">
        <v>112.2</v>
      </c>
      <c r="C62" s="521"/>
    </row>
    <row r="63" spans="1:3" s="447" customFormat="1" x14ac:dyDescent="0.3">
      <c r="A63" s="447">
        <f t="shared" si="7"/>
        <v>2016</v>
      </c>
      <c r="B63" s="447">
        <v>124.8</v>
      </c>
      <c r="C63" s="521"/>
    </row>
    <row r="64" spans="1:3" s="447" customFormat="1" x14ac:dyDescent="0.3">
      <c r="A64" s="447">
        <f t="shared" si="7"/>
        <v>2017</v>
      </c>
      <c r="B64" s="447">
        <v>127.1</v>
      </c>
      <c r="C64" s="521"/>
    </row>
    <row r="65" spans="1:4" s="447" customFormat="1" x14ac:dyDescent="0.3">
      <c r="A65" s="447">
        <f t="shared" si="7"/>
        <v>2018</v>
      </c>
      <c r="B65" s="447">
        <v>131.19999999999999</v>
      </c>
      <c r="C65" s="521"/>
    </row>
    <row r="66" spans="1:4" s="447" customFormat="1" x14ac:dyDescent="0.3">
      <c r="A66" s="447">
        <f t="shared" si="7"/>
        <v>2019</v>
      </c>
      <c r="B66" s="447">
        <v>127.8</v>
      </c>
      <c r="C66" s="521"/>
      <c r="D66" s="522"/>
    </row>
    <row r="67" spans="1:4" s="447" customFormat="1" x14ac:dyDescent="0.3">
      <c r="A67" s="447">
        <f t="shared" si="7"/>
        <v>2020</v>
      </c>
      <c r="B67" s="447">
        <v>29.1</v>
      </c>
    </row>
    <row r="68" spans="1:4" s="447" customFormat="1" x14ac:dyDescent="0.3">
      <c r="A68" s="447">
        <f t="shared" si="7"/>
        <v>2021</v>
      </c>
      <c r="B68" s="447">
        <v>41.5</v>
      </c>
    </row>
    <row r="69" spans="1:4" s="447" customFormat="1" x14ac:dyDescent="0.3">
      <c r="A69" s="447">
        <f t="shared" si="7"/>
        <v>2022</v>
      </c>
      <c r="B69" s="447">
        <v>61.8</v>
      </c>
    </row>
    <row r="70" spans="1:4" s="447" customFormat="1" x14ac:dyDescent="0.3">
      <c r="A70" s="447">
        <f t="shared" si="7"/>
        <v>2023</v>
      </c>
      <c r="C70" s="449">
        <f>B2/1000000</f>
        <v>129.4</v>
      </c>
    </row>
    <row r="71" spans="1:4" s="447" customFormat="1" x14ac:dyDescent="0.3">
      <c r="A71" s="447">
        <f t="shared" si="7"/>
        <v>2024</v>
      </c>
      <c r="C71" s="449">
        <f>C11/1000000</f>
        <v>131.988</v>
      </c>
    </row>
    <row r="72" spans="1:4" s="447" customFormat="1" x14ac:dyDescent="0.3">
      <c r="A72" s="447">
        <f t="shared" si="7"/>
        <v>2025</v>
      </c>
      <c r="C72" s="449">
        <f>D11/1000000</f>
        <v>134.62775999999999</v>
      </c>
    </row>
    <row r="73" spans="1:4" s="447" customFormat="1" x14ac:dyDescent="0.3">
      <c r="A73" s="447">
        <f t="shared" si="7"/>
        <v>2026</v>
      </c>
      <c r="C73" s="449">
        <f>E11/1000000</f>
        <v>137.32031519999998</v>
      </c>
    </row>
    <row r="74" spans="1:4" s="447" customFormat="1" x14ac:dyDescent="0.3">
      <c r="A74" s="447">
        <f t="shared" si="7"/>
        <v>2027</v>
      </c>
      <c r="C74" s="449">
        <f>F11/1000000</f>
        <v>140.06672150399999</v>
      </c>
    </row>
    <row r="75" spans="1:4" s="447" customFormat="1" x14ac:dyDescent="0.3">
      <c r="A75" s="447">
        <f t="shared" si="7"/>
        <v>2028</v>
      </c>
      <c r="C75" s="449">
        <f>G11/1000000</f>
        <v>142.86805593407996</v>
      </c>
    </row>
    <row r="76" spans="1:4" s="447" customFormat="1" x14ac:dyDescent="0.3">
      <c r="A76" s="447">
        <f t="shared" si="7"/>
        <v>2029</v>
      </c>
      <c r="C76" s="449">
        <f>H11/1000000</f>
        <v>145.72541705276157</v>
      </c>
    </row>
    <row r="77" spans="1:4" s="447" customFormat="1" x14ac:dyDescent="0.3">
      <c r="A77" s="447">
        <f t="shared" si="7"/>
        <v>2030</v>
      </c>
      <c r="C77" s="449">
        <f>I11/1000000</f>
        <v>148.63992539381684</v>
      </c>
    </row>
    <row r="78" spans="1:4" s="447" customFormat="1" x14ac:dyDescent="0.3">
      <c r="A78" s="447">
        <f t="shared" si="7"/>
        <v>2031</v>
      </c>
      <c r="C78" s="449">
        <f>J11/1000000</f>
        <v>151.61272390169316</v>
      </c>
    </row>
    <row r="79" spans="1:4" s="447" customFormat="1" x14ac:dyDescent="0.3">
      <c r="A79" s="447">
        <f t="shared" si="7"/>
        <v>2032</v>
      </c>
      <c r="C79" s="449">
        <f>K11/1000000</f>
        <v>154.64497837972704</v>
      </c>
    </row>
    <row r="80" spans="1:4" s="447" customFormat="1" x14ac:dyDescent="0.3">
      <c r="A80" s="447">
        <f t="shared" si="7"/>
        <v>2033</v>
      </c>
      <c r="C80" s="449">
        <f>L11/1000000</f>
        <v>157.73787794732161</v>
      </c>
    </row>
    <row r="81" spans="1:3" s="447" customFormat="1" x14ac:dyDescent="0.3">
      <c r="A81" s="447">
        <f t="shared" si="7"/>
        <v>2034</v>
      </c>
      <c r="C81" s="449">
        <f>M11/1000000</f>
        <v>160.89263550626802</v>
      </c>
    </row>
    <row r="82" spans="1:3" s="447" customFormat="1" x14ac:dyDescent="0.3">
      <c r="C82" s="449"/>
    </row>
  </sheetData>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B7DD-5886-4530-BD99-30F61C7AD467}">
  <sheetPr>
    <tabColor rgb="FF00B050"/>
    <pageSetUpPr autoPageBreaks="0"/>
  </sheetPr>
  <dimension ref="A1:W43"/>
  <sheetViews>
    <sheetView showGridLines="0" zoomScale="85" zoomScaleNormal="85" workbookViewId="0">
      <selection activeCell="B5" sqref="B5"/>
    </sheetView>
  </sheetViews>
  <sheetFormatPr defaultRowHeight="14.4" x14ac:dyDescent="0.3"/>
  <cols>
    <col min="1" max="1" width="37.109375" bestFit="1" customWidth="1"/>
    <col min="2" max="4" width="20.6640625" customWidth="1"/>
    <col min="5" max="5" width="20.5546875" customWidth="1"/>
    <col min="6" max="10" width="20.6640625" customWidth="1"/>
    <col min="11" max="11" width="26.6640625" bestFit="1" customWidth="1"/>
    <col min="12" max="13" width="20.6640625" customWidth="1"/>
    <col min="14" max="14" width="11.5546875" bestFit="1" customWidth="1"/>
    <col min="15" max="15" width="16.44140625" bestFit="1" customWidth="1"/>
    <col min="16" max="17" width="11.5546875" bestFit="1" customWidth="1"/>
    <col min="18" max="18" width="12.33203125" bestFit="1" customWidth="1"/>
    <col min="19" max="19" width="15.5546875" bestFit="1" customWidth="1"/>
    <col min="20" max="21" width="13.44140625" bestFit="1" customWidth="1"/>
    <col min="22" max="23" width="12.33203125" bestFit="1" customWidth="1"/>
    <col min="24" max="24" width="13.6640625" bestFit="1" customWidth="1"/>
    <col min="25" max="25" width="17.6640625" bestFit="1" customWidth="1"/>
    <col min="26" max="26" width="12.6640625" customWidth="1"/>
    <col min="27" max="30" width="13.44140625" bestFit="1" customWidth="1"/>
    <col min="31" max="31" width="13.5546875" bestFit="1" customWidth="1"/>
    <col min="33" max="34" width="13.44140625" bestFit="1" customWidth="1"/>
    <col min="35" max="35" width="13.5546875" bestFit="1" customWidth="1"/>
    <col min="36" max="36" width="13.44140625" bestFit="1" customWidth="1"/>
    <col min="37" max="37" width="13.5546875" bestFit="1" customWidth="1"/>
    <col min="38" max="38" width="13.44140625" bestFit="1" customWidth="1"/>
  </cols>
  <sheetData>
    <row r="1" spans="1:13" ht="15" thickBot="1" x14ac:dyDescent="0.35">
      <c r="D1" s="198"/>
    </row>
    <row r="2" spans="1:13" ht="15" thickBot="1" x14ac:dyDescent="0.35">
      <c r="A2" s="82" t="s">
        <v>175</v>
      </c>
      <c r="B2" s="305"/>
      <c r="C2" s="305"/>
      <c r="D2" s="306"/>
      <c r="F2" s="82" t="s">
        <v>258</v>
      </c>
      <c r="G2" s="305"/>
      <c r="H2" s="305"/>
      <c r="I2" s="306"/>
      <c r="K2" s="82" t="s">
        <v>231</v>
      </c>
      <c r="L2" s="305"/>
      <c r="M2" s="306"/>
    </row>
    <row r="3" spans="1:13" x14ac:dyDescent="0.3">
      <c r="A3" s="307" t="s">
        <v>156</v>
      </c>
      <c r="B3" s="461" t="str">
        <f>'Property Summary'!B3</f>
        <v>The Empire State Building</v>
      </c>
      <c r="C3" s="307" t="s">
        <v>148</v>
      </c>
      <c r="D3" s="464" t="str">
        <f>'Property Summary'!D3</f>
        <v>350 Fifth Avenue</v>
      </c>
      <c r="F3" s="308" t="s">
        <v>230</v>
      </c>
      <c r="G3" s="127">
        <f>D6</f>
        <v>10</v>
      </c>
      <c r="H3" s="128"/>
      <c r="I3" s="129">
        <f>INDEX(Proforma!$E$4:$P$4,MATCH(G3,Proforma!$E$3:$P$3,0))</f>
        <v>48944</v>
      </c>
      <c r="K3" s="117" t="s">
        <v>232</v>
      </c>
      <c r="L3" s="166" t="s">
        <v>167</v>
      </c>
      <c r="M3" s="118" t="s">
        <v>233</v>
      </c>
    </row>
    <row r="4" spans="1:13" x14ac:dyDescent="0.3">
      <c r="A4" s="310" t="s">
        <v>177</v>
      </c>
      <c r="B4" s="462">
        <f>'Property Summary'!B4</f>
        <v>2808567</v>
      </c>
      <c r="C4" s="310" t="s">
        <v>149</v>
      </c>
      <c r="D4" s="465" t="str">
        <f>'Property Summary'!D4</f>
        <v>New York, NY</v>
      </c>
      <c r="F4" s="273"/>
      <c r="H4" s="389" t="s">
        <v>169</v>
      </c>
      <c r="I4" s="126" t="s">
        <v>259</v>
      </c>
      <c r="K4" s="355"/>
      <c r="L4" s="167"/>
      <c r="M4" s="119"/>
    </row>
    <row r="5" spans="1:13" x14ac:dyDescent="0.3">
      <c r="A5" s="114" t="s">
        <v>226</v>
      </c>
      <c r="B5" s="383">
        <v>904283329</v>
      </c>
      <c r="C5" s="114" t="s">
        <v>152</v>
      </c>
      <c r="D5" s="378">
        <v>7.0000000000000007E-2</v>
      </c>
      <c r="F5" s="273" t="s">
        <v>166</v>
      </c>
      <c r="H5" s="390">
        <f>I5/$B$4</f>
        <v>30.436251654313391</v>
      </c>
      <c r="I5" s="312">
        <f>INDEX(Proforma!$E$37:$P$37,MATCH($G$3+1,Proforma!$E$3:$P$3,0))</f>
        <v>85482252</v>
      </c>
      <c r="K5" s="355" t="s">
        <v>171</v>
      </c>
      <c r="L5" s="167">
        <f>M5/$M$7</f>
        <v>0.77127943714992575</v>
      </c>
      <c r="M5" s="119">
        <f>B5-M4</f>
        <v>904283329</v>
      </c>
    </row>
    <row r="6" spans="1:13" x14ac:dyDescent="0.3">
      <c r="A6" s="310" t="s">
        <v>227</v>
      </c>
      <c r="B6" s="315">
        <f>B5/B4</f>
        <v>321.97320875734852</v>
      </c>
      <c r="C6" s="131" t="s">
        <v>263</v>
      </c>
      <c r="D6" s="466">
        <f>'Property Summary'!D6</f>
        <v>10</v>
      </c>
      <c r="F6" s="273" t="s">
        <v>214</v>
      </c>
      <c r="G6" s="471">
        <v>0.1</v>
      </c>
      <c r="H6" s="316">
        <f>I6/$B$4</f>
        <v>-3.0436251654313398</v>
      </c>
      <c r="I6" s="317">
        <f>-I5*G6</f>
        <v>-8548225.2000000011</v>
      </c>
      <c r="K6" s="357" t="s">
        <v>168</v>
      </c>
      <c r="L6" s="168">
        <f>M6/$M$7</f>
        <v>0.22872056285007428</v>
      </c>
      <c r="M6" s="358">
        <f>M12-SUM(M4:M5)</f>
        <v>268162461</v>
      </c>
    </row>
    <row r="7" spans="1:13" ht="15" thickBot="1" x14ac:dyDescent="0.35">
      <c r="A7" s="273" t="s">
        <v>225</v>
      </c>
      <c r="B7" s="197">
        <f>B9/B5</f>
        <v>9.6483636490881278E-2</v>
      </c>
      <c r="C7" s="310" t="s">
        <v>150</v>
      </c>
      <c r="D7" s="463">
        <f>'Property Summary'!D7</f>
        <v>45292</v>
      </c>
      <c r="F7" s="273" t="s">
        <v>251</v>
      </c>
      <c r="H7" s="390">
        <f>I7/$B$4</f>
        <v>27.392626488882051</v>
      </c>
      <c r="I7" s="81">
        <f>SUM(I5:I6)</f>
        <v>76934026.799999997</v>
      </c>
      <c r="K7" s="122" t="s">
        <v>234</v>
      </c>
      <c r="L7" s="169">
        <f>SUM(L4:L6)</f>
        <v>1</v>
      </c>
      <c r="M7" s="123">
        <f>SUM(M4:M6)</f>
        <v>1172445790</v>
      </c>
    </row>
    <row r="8" spans="1:13" x14ac:dyDescent="0.3">
      <c r="A8" s="319" t="s">
        <v>162</v>
      </c>
      <c r="B8" s="124">
        <f>Proforma!F6</f>
        <v>0.88421604327046499</v>
      </c>
      <c r="C8" t="s">
        <v>26</v>
      </c>
      <c r="D8" s="320">
        <f>EOMONTH(D7-1,D6*12)</f>
        <v>48944</v>
      </c>
      <c r="E8" s="321"/>
      <c r="F8" s="273" t="s">
        <v>252</v>
      </c>
      <c r="H8" s="472"/>
      <c r="I8" s="311">
        <f>D5</f>
        <v>7.0000000000000007E-2</v>
      </c>
      <c r="K8" s="117" t="s">
        <v>235</v>
      </c>
      <c r="L8" s="166" t="s">
        <v>167</v>
      </c>
      <c r="M8" s="118" t="s">
        <v>233</v>
      </c>
    </row>
    <row r="9" spans="1:13" ht="15" thickBot="1" x14ac:dyDescent="0.35">
      <c r="A9" s="278" t="s">
        <v>151</v>
      </c>
      <c r="B9" s="112">
        <f>Proforma!F37</f>
        <v>87248544</v>
      </c>
      <c r="C9" s="278" t="str">
        <f>"Exit Forward NOI - YR"&amp;D6&amp;""</f>
        <v>Exit Forward NOI - YR10</v>
      </c>
      <c r="D9" s="323">
        <f>INDEX(Proforma!$E$37:$P$37,MATCH(D6,Proforma!$E$3:$P$3,0))</f>
        <v>85461331</v>
      </c>
      <c r="E9" s="197"/>
      <c r="F9" s="273" t="s">
        <v>253</v>
      </c>
      <c r="G9" s="391"/>
      <c r="H9" s="390">
        <f t="shared" ref="H9:H11" si="0">I9/$B$4</f>
        <v>391.32323555545787</v>
      </c>
      <c r="I9" s="81">
        <f>I7/I8</f>
        <v>1099057525.7142856</v>
      </c>
      <c r="K9" s="359" t="s">
        <v>226</v>
      </c>
      <c r="L9" s="167">
        <f>M9/$M$12</f>
        <v>0.77127943714992575</v>
      </c>
      <c r="M9" s="360">
        <f>-B33</f>
        <v>904283329</v>
      </c>
    </row>
    <row r="10" spans="1:13" x14ac:dyDescent="0.3">
      <c r="F10" s="273" t="s">
        <v>254</v>
      </c>
      <c r="G10" s="197">
        <f>'Property Summary'!$G$6</f>
        <v>0.02</v>
      </c>
      <c r="H10" s="316">
        <f t="shared" si="0"/>
        <v>-7.8264647111091579</v>
      </c>
      <c r="I10" s="317">
        <f>-I9*G10</f>
        <v>-21981150.514285713</v>
      </c>
      <c r="K10" s="359" t="s">
        <v>250</v>
      </c>
      <c r="L10" s="362">
        <f>M10/$M$12</f>
        <v>0.22872056285007428</v>
      </c>
      <c r="M10" s="360">
        <f>-SUMIF($C$17:$M$17,"&lt;="&amp;G3,C27:M27)</f>
        <v>268162461</v>
      </c>
    </row>
    <row r="11" spans="1:13" ht="15" thickBot="1" x14ac:dyDescent="0.35">
      <c r="F11" s="273" t="s">
        <v>255</v>
      </c>
      <c r="G11" s="391"/>
      <c r="H11" s="390">
        <f t="shared" si="0"/>
        <v>383.49677084434865</v>
      </c>
      <c r="I11" s="324">
        <f>SUM(I9:I10)</f>
        <v>1077076375.1999998</v>
      </c>
      <c r="K11" s="363"/>
      <c r="L11" s="364"/>
      <c r="M11" s="365"/>
    </row>
    <row r="12" spans="1:13" ht="15" thickBot="1" x14ac:dyDescent="0.35">
      <c r="A12" s="82" t="s">
        <v>176</v>
      </c>
      <c r="B12" s="305"/>
      <c r="C12" s="306"/>
      <c r="F12" s="161" t="str">
        <f>"PV of Net Sales Price @ "&amp;TEXT(C14,"0.00%")&amp;" Discount Rate"</f>
        <v>PV of Net Sales Price @ 7.72% Discount Rate</v>
      </c>
      <c r="G12" s="162"/>
      <c r="H12" s="163">
        <f t="shared" ref="H12" si="1">I12/$B$4</f>
        <v>182.36475520448397</v>
      </c>
      <c r="I12" s="473">
        <f>I11/(1+C14)^G3</f>
        <v>512183633.43039197</v>
      </c>
      <c r="K12" s="120" t="s">
        <v>236</v>
      </c>
      <c r="L12" s="170">
        <f>SUM(L9:L11)</f>
        <v>1</v>
      </c>
      <c r="M12" s="121">
        <f>SUM(M9:M11)</f>
        <v>1172445790</v>
      </c>
    </row>
    <row r="13" spans="1:13" x14ac:dyDescent="0.3">
      <c r="A13" s="309" t="s">
        <v>158</v>
      </c>
      <c r="B13" s="105">
        <f>C13/$B$4</f>
        <v>276.48930974407938</v>
      </c>
      <c r="C13" s="100">
        <f>Proforma!C62</f>
        <v>776538751.19999981</v>
      </c>
    </row>
    <row r="14" spans="1:13" x14ac:dyDescent="0.3">
      <c r="A14" s="309" t="s">
        <v>157</v>
      </c>
      <c r="C14" s="418">
        <f>Proforma!C63</f>
        <v>7.7164619954761537E-2</v>
      </c>
    </row>
    <row r="15" spans="1:13" x14ac:dyDescent="0.3">
      <c r="A15" s="313" t="s">
        <v>159</v>
      </c>
      <c r="B15" s="254"/>
      <c r="C15" s="314">
        <f>Proforma!C64</f>
        <v>1.8546371568634521</v>
      </c>
    </row>
    <row r="16" spans="1:13" ht="15" thickBot="1" x14ac:dyDescent="0.35"/>
    <row r="17" spans="1:13" x14ac:dyDescent="0.3">
      <c r="A17" s="327" t="s">
        <v>237</v>
      </c>
      <c r="B17" s="328">
        <f>Proforma!E3</f>
        <v>0</v>
      </c>
      <c r="C17" s="329">
        <f>Proforma!F3</f>
        <v>1</v>
      </c>
      <c r="D17" s="329">
        <f>Proforma!G3</f>
        <v>2</v>
      </c>
      <c r="E17" s="329">
        <f>Proforma!H3</f>
        <v>3</v>
      </c>
      <c r="F17" s="329">
        <f>Proforma!I3</f>
        <v>4</v>
      </c>
      <c r="G17" s="329">
        <f>Proforma!J3</f>
        <v>5</v>
      </c>
      <c r="H17" s="329">
        <f>Proforma!K3</f>
        <v>6</v>
      </c>
      <c r="I17" s="329">
        <f>Proforma!L3</f>
        <v>7</v>
      </c>
      <c r="J17" s="329">
        <f>Proforma!M3</f>
        <v>8</v>
      </c>
      <c r="K17" s="329">
        <f>Proforma!N3</f>
        <v>9</v>
      </c>
      <c r="L17" s="329">
        <f>Proforma!O3</f>
        <v>10</v>
      </c>
      <c r="M17" s="330">
        <f>Proforma!P3</f>
        <v>11</v>
      </c>
    </row>
    <row r="18" spans="1:13" x14ac:dyDescent="0.3">
      <c r="A18" s="331" t="s">
        <v>238</v>
      </c>
      <c r="B18" s="253">
        <f>Proforma!E4</f>
        <v>45292</v>
      </c>
      <c r="C18" s="253">
        <f>Proforma!F4</f>
        <v>45657</v>
      </c>
      <c r="D18" s="253">
        <f>Proforma!G4</f>
        <v>46022</v>
      </c>
      <c r="E18" s="253">
        <f>Proforma!H4</f>
        <v>46387</v>
      </c>
      <c r="F18" s="253">
        <f>Proforma!I4</f>
        <v>46752</v>
      </c>
      <c r="G18" s="253">
        <f>Proforma!J4</f>
        <v>47118</v>
      </c>
      <c r="H18" s="253">
        <f>Proforma!K4</f>
        <v>47483</v>
      </c>
      <c r="I18" s="253">
        <f>Proforma!L4</f>
        <v>47848</v>
      </c>
      <c r="J18" s="253">
        <f>Proforma!M4</f>
        <v>48213</v>
      </c>
      <c r="K18" s="253">
        <f>Proforma!N4</f>
        <v>48579</v>
      </c>
      <c r="L18" s="253">
        <f>Proforma!O4</f>
        <v>48944</v>
      </c>
      <c r="M18" s="332">
        <f>Proforma!P4</f>
        <v>49309</v>
      </c>
    </row>
    <row r="19" spans="1:13" ht="15" thickBot="1" x14ac:dyDescent="0.35">
      <c r="A19" s="333" t="s">
        <v>160</v>
      </c>
      <c r="B19" s="334" t="s">
        <v>249</v>
      </c>
      <c r="C19" s="115">
        <f>Proforma!F6</f>
        <v>0.88421604327046499</v>
      </c>
      <c r="D19" s="115">
        <f>Proforma!G6</f>
        <v>0.91714992022622199</v>
      </c>
      <c r="E19" s="115">
        <f>Proforma!H6</f>
        <v>0.97081073729058298</v>
      </c>
      <c r="F19" s="115">
        <f>Proforma!I6</f>
        <v>0.975840971570199</v>
      </c>
      <c r="G19" s="115">
        <f>Proforma!J6</f>
        <v>0.962031111714028</v>
      </c>
      <c r="H19" s="115">
        <f>Proforma!K6</f>
        <v>0.90869332415190096</v>
      </c>
      <c r="I19" s="115">
        <f>Proforma!L6</f>
        <v>0.991930048312894</v>
      </c>
      <c r="J19" s="115">
        <f>Proforma!M6</f>
        <v>0.99292729471411301</v>
      </c>
      <c r="K19" s="115">
        <f>Proforma!N6</f>
        <v>0.99241205568533697</v>
      </c>
      <c r="L19" s="115">
        <f>Proforma!O6</f>
        <v>0.99609649689681601</v>
      </c>
      <c r="M19" s="139">
        <f>Proforma!P6</f>
        <v>0.96345829266906102</v>
      </c>
    </row>
    <row r="20" spans="1:13" x14ac:dyDescent="0.3">
      <c r="A20" s="335" t="s">
        <v>240</v>
      </c>
      <c r="B20" s="398">
        <v>0</v>
      </c>
      <c r="C20" s="398">
        <f>Proforma!F27</f>
        <v>174227252</v>
      </c>
      <c r="D20" s="398">
        <f>Proforma!G27</f>
        <v>180905314</v>
      </c>
      <c r="E20" s="398">
        <f>Proforma!H27</f>
        <v>187616360</v>
      </c>
      <c r="F20" s="398">
        <f>Proforma!I27</f>
        <v>192115860</v>
      </c>
      <c r="G20" s="398">
        <f>Proforma!J27</f>
        <v>191791166</v>
      </c>
      <c r="H20" s="398">
        <f>Proforma!K27</f>
        <v>166705609</v>
      </c>
      <c r="I20" s="398">
        <f>Proforma!L27</f>
        <v>179754367</v>
      </c>
      <c r="J20" s="398">
        <f>Proforma!M27</f>
        <v>183262071</v>
      </c>
      <c r="K20" s="398">
        <f>Proforma!N27</f>
        <v>186008335</v>
      </c>
      <c r="L20" s="398">
        <f>Proforma!O27</f>
        <v>190627396</v>
      </c>
      <c r="M20" s="336">
        <f>Proforma!P27</f>
        <v>192163767</v>
      </c>
    </row>
    <row r="21" spans="1:13" x14ac:dyDescent="0.3">
      <c r="A21" s="335" t="s">
        <v>119</v>
      </c>
      <c r="B21" s="398">
        <f>Proforma!E35</f>
        <v>0</v>
      </c>
      <c r="C21" s="398">
        <f>Proforma!F35</f>
        <v>86978708</v>
      </c>
      <c r="D21" s="398">
        <f>Proforma!G35</f>
        <v>89252791</v>
      </c>
      <c r="E21" s="398">
        <f>Proforma!H35</f>
        <v>91859738</v>
      </c>
      <c r="F21" s="398">
        <f>Proforma!I35</f>
        <v>93789061</v>
      </c>
      <c r="G21" s="398">
        <f>Proforma!J35</f>
        <v>95344616</v>
      </c>
      <c r="H21" s="398">
        <f>Proforma!K35</f>
        <v>95614796</v>
      </c>
      <c r="I21" s="398">
        <f>Proforma!L35</f>
        <v>99042713</v>
      </c>
      <c r="J21" s="398">
        <f>Proforma!M35</f>
        <v>101035905</v>
      </c>
      <c r="K21" s="398">
        <f>Proforma!N35</f>
        <v>103021171</v>
      </c>
      <c r="L21" s="398">
        <f>Proforma!O35</f>
        <v>105166065</v>
      </c>
      <c r="M21" s="336">
        <f>Proforma!P35</f>
        <v>106681515</v>
      </c>
    </row>
    <row r="22" spans="1:13" x14ac:dyDescent="0.3">
      <c r="A22" s="337" t="s">
        <v>121</v>
      </c>
      <c r="B22" s="397">
        <v>0</v>
      </c>
      <c r="C22" s="397">
        <f>C20-C21</f>
        <v>87248544</v>
      </c>
      <c r="D22" s="397">
        <f t="shared" ref="D22:M22" si="2">D20-D21</f>
        <v>91652523</v>
      </c>
      <c r="E22" s="397">
        <f t="shared" si="2"/>
        <v>95756622</v>
      </c>
      <c r="F22" s="397">
        <f t="shared" si="2"/>
        <v>98326799</v>
      </c>
      <c r="G22" s="397">
        <f t="shared" si="2"/>
        <v>96446550</v>
      </c>
      <c r="H22" s="397">
        <f t="shared" si="2"/>
        <v>71090813</v>
      </c>
      <c r="I22" s="397">
        <f t="shared" si="2"/>
        <v>80711654</v>
      </c>
      <c r="J22" s="397">
        <f t="shared" si="2"/>
        <v>82226166</v>
      </c>
      <c r="K22" s="397">
        <f t="shared" si="2"/>
        <v>82987164</v>
      </c>
      <c r="L22" s="397">
        <f t="shared" si="2"/>
        <v>85461331</v>
      </c>
      <c r="M22" s="338">
        <f t="shared" si="2"/>
        <v>85482252</v>
      </c>
    </row>
    <row r="23" spans="1:13" x14ac:dyDescent="0.3">
      <c r="A23" s="339" t="s">
        <v>241</v>
      </c>
      <c r="B23" s="399" t="s">
        <v>242</v>
      </c>
      <c r="C23" s="400">
        <v>0</v>
      </c>
      <c r="D23" s="400">
        <f>(D22-C22)/C22</f>
        <v>5.047624634286161E-2</v>
      </c>
      <c r="E23" s="400">
        <f t="shared" ref="E23:M23" si="3">(E22-D22)/D22</f>
        <v>4.4778898230657546E-2</v>
      </c>
      <c r="F23" s="400">
        <f t="shared" si="3"/>
        <v>2.684072334966035E-2</v>
      </c>
      <c r="G23" s="400">
        <f t="shared" si="3"/>
        <v>-1.9122446973993325E-2</v>
      </c>
      <c r="H23" s="400">
        <f t="shared" si="3"/>
        <v>-0.26289936757717097</v>
      </c>
      <c r="I23" s="400">
        <f t="shared" si="3"/>
        <v>0.13533170594068181</v>
      </c>
      <c r="J23" s="400">
        <f t="shared" si="3"/>
        <v>1.8764477308320308E-2</v>
      </c>
      <c r="K23" s="400">
        <f t="shared" si="3"/>
        <v>9.2549371692704236E-3</v>
      </c>
      <c r="L23" s="400">
        <f t="shared" si="3"/>
        <v>2.9813851693980046E-2</v>
      </c>
      <c r="M23" s="340">
        <f t="shared" si="3"/>
        <v>2.4480077428234764E-4</v>
      </c>
    </row>
    <row r="24" spans="1:13" x14ac:dyDescent="0.3">
      <c r="A24" s="341"/>
      <c r="B24" s="401"/>
      <c r="C24" s="402"/>
      <c r="D24" s="402"/>
      <c r="E24" s="402"/>
      <c r="F24" s="402"/>
      <c r="G24" s="402"/>
      <c r="H24" s="402"/>
      <c r="I24" s="402"/>
      <c r="J24" s="402"/>
      <c r="K24" s="402"/>
      <c r="L24" s="402"/>
      <c r="M24" s="342"/>
    </row>
    <row r="25" spans="1:13" x14ac:dyDescent="0.3">
      <c r="A25" s="335" t="s">
        <v>122</v>
      </c>
      <c r="B25" s="398">
        <f>-Proforma!E42</f>
        <v>0</v>
      </c>
      <c r="C25" s="398">
        <f>-Proforma!F42</f>
        <v>-52346631</v>
      </c>
      <c r="D25" s="398">
        <f>-Proforma!G42</f>
        <v>-34717449</v>
      </c>
      <c r="E25" s="398">
        <f>-Proforma!H42</f>
        <v>-21201215</v>
      </c>
      <c r="F25" s="398">
        <f>-Proforma!I42</f>
        <v>-15202057</v>
      </c>
      <c r="G25" s="398">
        <f>-Proforma!J42</f>
        <v>-12932417</v>
      </c>
      <c r="H25" s="398">
        <f>-Proforma!K42</f>
        <v>-75397937</v>
      </c>
      <c r="I25" s="398">
        <f>-Proforma!L42</f>
        <v>-4731266</v>
      </c>
      <c r="J25" s="398">
        <f>-Proforma!M42</f>
        <v>-5238105</v>
      </c>
      <c r="K25" s="398">
        <f>-Proforma!N42</f>
        <v>-4355780</v>
      </c>
      <c r="L25" s="398">
        <f>-Proforma!O42</f>
        <v>-2865863</v>
      </c>
      <c r="M25" s="336">
        <f>-Proforma!P42</f>
        <v>-18345095</v>
      </c>
    </row>
    <row r="26" spans="1:13" x14ac:dyDescent="0.3">
      <c r="A26" s="343" t="s">
        <v>380</v>
      </c>
      <c r="B26" s="344">
        <f>-Proforma!E43</f>
        <v>0</v>
      </c>
      <c r="C26" s="344">
        <f>-Proforma!F43</f>
        <v>-10608333</v>
      </c>
      <c r="D26" s="344">
        <f>-Proforma!G43</f>
        <v>-10608833</v>
      </c>
      <c r="E26" s="344">
        <f>-Proforma!H43</f>
        <v>-10609343</v>
      </c>
      <c r="F26" s="344">
        <f>-Proforma!I43</f>
        <v>-4976530</v>
      </c>
      <c r="G26" s="344">
        <f>-Proforma!J43</f>
        <v>-2227061</v>
      </c>
      <c r="H26" s="344">
        <f>-Proforma!K43</f>
        <v>-27602</v>
      </c>
      <c r="I26" s="344">
        <f>-Proforma!L43</f>
        <v>-28154</v>
      </c>
      <c r="J26" s="344">
        <f>-Proforma!M43</f>
        <v>-28717</v>
      </c>
      <c r="K26" s="344">
        <f>-Proforma!N43</f>
        <v>-29291</v>
      </c>
      <c r="L26" s="344">
        <f>-Proforma!O43</f>
        <v>-29877</v>
      </c>
      <c r="M26" s="345">
        <f>-Proforma!P43</f>
        <v>-30475</v>
      </c>
    </row>
    <row r="27" spans="1:13" x14ac:dyDescent="0.3">
      <c r="A27" s="346" t="s">
        <v>243</v>
      </c>
      <c r="B27" s="403">
        <f>SUM(B25:B26)</f>
        <v>0</v>
      </c>
      <c r="C27" s="403">
        <f t="shared" ref="C27:M27" si="4">SUM(C25:C26)</f>
        <v>-62954964</v>
      </c>
      <c r="D27" s="403">
        <f t="shared" si="4"/>
        <v>-45326282</v>
      </c>
      <c r="E27" s="403">
        <f t="shared" si="4"/>
        <v>-31810558</v>
      </c>
      <c r="F27" s="403">
        <f t="shared" si="4"/>
        <v>-20178587</v>
      </c>
      <c r="G27" s="403">
        <f t="shared" si="4"/>
        <v>-15159478</v>
      </c>
      <c r="H27" s="403">
        <f t="shared" si="4"/>
        <v>-75425539</v>
      </c>
      <c r="I27" s="403">
        <f t="shared" si="4"/>
        <v>-4759420</v>
      </c>
      <c r="J27" s="403">
        <f t="shared" si="4"/>
        <v>-5266822</v>
      </c>
      <c r="K27" s="403">
        <f t="shared" si="4"/>
        <v>-4385071</v>
      </c>
      <c r="L27" s="403">
        <f t="shared" si="4"/>
        <v>-2895740</v>
      </c>
      <c r="M27" s="347">
        <f t="shared" si="4"/>
        <v>-18375570</v>
      </c>
    </row>
    <row r="28" spans="1:13" x14ac:dyDescent="0.3">
      <c r="A28" s="346"/>
      <c r="B28" s="403"/>
      <c r="C28" s="403"/>
      <c r="D28" s="403"/>
      <c r="E28" s="403"/>
      <c r="F28" s="403"/>
      <c r="G28" s="403"/>
      <c r="H28" s="403"/>
      <c r="I28" s="403"/>
      <c r="J28" s="403"/>
      <c r="K28" s="403"/>
      <c r="L28" s="403"/>
      <c r="M28" s="347"/>
    </row>
    <row r="29" spans="1:13" x14ac:dyDescent="0.3">
      <c r="A29" s="539" t="s">
        <v>133</v>
      </c>
      <c r="B29" s="540"/>
      <c r="C29" s="397">
        <f>(C22+C27)*(C17&lt;=$D$6)</f>
        <v>24293580</v>
      </c>
      <c r="D29" s="397">
        <f t="shared" ref="D29:M29" si="5">(D22+D27)*(D17&lt;=$D$6)</f>
        <v>46326241</v>
      </c>
      <c r="E29" s="397">
        <f t="shared" si="5"/>
        <v>63946064</v>
      </c>
      <c r="F29" s="397">
        <f t="shared" si="5"/>
        <v>78148212</v>
      </c>
      <c r="G29" s="397">
        <f t="shared" si="5"/>
        <v>81287072</v>
      </c>
      <c r="H29" s="397">
        <f t="shared" si="5"/>
        <v>-4334726</v>
      </c>
      <c r="I29" s="397">
        <f t="shared" si="5"/>
        <v>75952234</v>
      </c>
      <c r="J29" s="397">
        <f t="shared" si="5"/>
        <v>76959344</v>
      </c>
      <c r="K29" s="397">
        <f t="shared" si="5"/>
        <v>78602093</v>
      </c>
      <c r="L29" s="397">
        <f t="shared" si="5"/>
        <v>82565591</v>
      </c>
      <c r="M29" s="338">
        <f t="shared" si="5"/>
        <v>0</v>
      </c>
    </row>
    <row r="30" spans="1:13" x14ac:dyDescent="0.3">
      <c r="A30" s="348"/>
      <c r="B30" s="116"/>
      <c r="C30" s="116"/>
      <c r="D30" s="116"/>
      <c r="E30" s="116"/>
      <c r="F30" s="116"/>
      <c r="G30" s="116"/>
      <c r="H30" s="116"/>
      <c r="I30" s="116"/>
      <c r="J30" s="116"/>
      <c r="K30" s="116"/>
      <c r="L30" s="116"/>
      <c r="M30" s="140"/>
    </row>
    <row r="31" spans="1:13" x14ac:dyDescent="0.3">
      <c r="A31" s="539" t="str">
        <f>"Net Reversion @ "&amp;TEXT($D$5,"0.00%")&amp;" Exit Cap"</f>
        <v>Net Reversion @ 7.00% Exit Cap</v>
      </c>
      <c r="B31" s="540"/>
      <c r="C31" s="397">
        <f>Proforma!F47</f>
        <v>0</v>
      </c>
      <c r="D31" s="397">
        <f>Proforma!G47</f>
        <v>0</v>
      </c>
      <c r="E31" s="397">
        <f>Proforma!H47</f>
        <v>0</v>
      </c>
      <c r="F31" s="397">
        <f>Proforma!I47</f>
        <v>0</v>
      </c>
      <c r="G31" s="397">
        <f>Proforma!J47</f>
        <v>0</v>
      </c>
      <c r="H31" s="397">
        <f>Proforma!K47</f>
        <v>0</v>
      </c>
      <c r="I31" s="397">
        <f>Proforma!L47</f>
        <v>0</v>
      </c>
      <c r="J31" s="397">
        <f>Proforma!M47</f>
        <v>0</v>
      </c>
      <c r="K31" s="397">
        <f>Proforma!N47</f>
        <v>0</v>
      </c>
      <c r="L31" s="397">
        <f>Proforma!O47</f>
        <v>1077076375.1999998</v>
      </c>
      <c r="M31" s="338">
        <f>Proforma!P47</f>
        <v>0</v>
      </c>
    </row>
    <row r="32" spans="1:13" x14ac:dyDescent="0.3">
      <c r="A32" s="349"/>
      <c r="B32" s="403"/>
      <c r="C32" s="403"/>
      <c r="D32" s="403"/>
      <c r="E32" s="403"/>
      <c r="F32" s="403"/>
      <c r="G32" s="403"/>
      <c r="H32" s="403"/>
      <c r="I32" s="403"/>
      <c r="J32" s="403"/>
      <c r="K32" s="403"/>
      <c r="L32" s="403"/>
      <c r="M32" s="347"/>
    </row>
    <row r="33" spans="1:23" x14ac:dyDescent="0.3">
      <c r="A33" s="337" t="s">
        <v>244</v>
      </c>
      <c r="B33" s="397">
        <f>-B5</f>
        <v>-904283329</v>
      </c>
      <c r="C33" s="397">
        <f>SUM(C29,C31)*(C17&lt;=$D$6)</f>
        <v>24293580</v>
      </c>
      <c r="D33" s="397">
        <f t="shared" ref="D33:M33" si="6">SUM(D29,D31)*(D17&lt;=$D$6)</f>
        <v>46326241</v>
      </c>
      <c r="E33" s="397">
        <f t="shared" si="6"/>
        <v>63946064</v>
      </c>
      <c r="F33" s="397">
        <f t="shared" si="6"/>
        <v>78148212</v>
      </c>
      <c r="G33" s="397">
        <f t="shared" si="6"/>
        <v>81287072</v>
      </c>
      <c r="H33" s="397">
        <f t="shared" si="6"/>
        <v>-4334726</v>
      </c>
      <c r="I33" s="397">
        <f t="shared" si="6"/>
        <v>75952234</v>
      </c>
      <c r="J33" s="397">
        <f t="shared" si="6"/>
        <v>76959344</v>
      </c>
      <c r="K33" s="397">
        <f t="shared" si="6"/>
        <v>78602093</v>
      </c>
      <c r="L33" s="397">
        <f t="shared" si="6"/>
        <v>1159641966.1999998</v>
      </c>
      <c r="M33" s="338">
        <f t="shared" si="6"/>
        <v>0</v>
      </c>
      <c r="T33" s="350" t="s">
        <v>170</v>
      </c>
      <c r="U33" s="350" t="s">
        <v>170</v>
      </c>
      <c r="V33" s="350" t="s">
        <v>170</v>
      </c>
      <c r="W33" s="350" t="s">
        <v>170</v>
      </c>
    </row>
    <row r="34" spans="1:23" ht="15" thickBot="1" x14ac:dyDescent="0.35"/>
    <row r="35" spans="1:23" ht="15" thickBot="1" x14ac:dyDescent="0.35">
      <c r="A35" s="543" t="s">
        <v>260</v>
      </c>
      <c r="B35" s="544"/>
      <c r="C35" s="544"/>
      <c r="D35" s="544"/>
      <c r="E35" s="544"/>
      <c r="G35" s="413" t="s">
        <v>280</v>
      </c>
      <c r="H35" s="414"/>
    </row>
    <row r="36" spans="1:23" x14ac:dyDescent="0.3">
      <c r="A36" s="430" t="s">
        <v>264</v>
      </c>
      <c r="B36" s="141" t="str">
        <f>"Unlevered IRR &amp; Equity Multiple - @ "&amp;TEXT($D$5,"0.00%")&amp;" Exit Cap"</f>
        <v>Unlevered IRR &amp; Equity Multiple - @ 7.00% Exit Cap</v>
      </c>
      <c r="C36" s="142"/>
      <c r="D36" s="142"/>
      <c r="E36" s="143"/>
      <c r="G36" s="416" t="s">
        <v>279</v>
      </c>
      <c r="H36" s="416" t="s">
        <v>282</v>
      </c>
      <c r="S36" s="480" t="s">
        <v>265</v>
      </c>
      <c r="T36" s="130"/>
      <c r="U36" s="130"/>
      <c r="V36" s="130"/>
      <c r="W36" s="130"/>
    </row>
    <row r="37" spans="1:23" ht="15" thickBot="1" x14ac:dyDescent="0.35">
      <c r="A37" s="431"/>
      <c r="B37" s="158">
        <f t="shared" ref="B37:E42" si="7">T37</f>
        <v>3</v>
      </c>
      <c r="C37" s="160">
        <f t="shared" si="7"/>
        <v>5</v>
      </c>
      <c r="D37" s="160">
        <f t="shared" si="7"/>
        <v>7</v>
      </c>
      <c r="E37" s="159">
        <f t="shared" si="7"/>
        <v>10</v>
      </c>
      <c r="G37" s="420">
        <f>C22/-B33</f>
        <v>9.6483636490881278E-2</v>
      </c>
      <c r="H37" s="420">
        <f>IRR(B33:M33)</f>
        <v>7.7164619954761537E-2</v>
      </c>
      <c r="S37" s="133" t="str">
        <f>TEXT(C14,"0.00%")&amp;" - "&amp;TEXT(C15,"0.00x")</f>
        <v>7.72% - 1.85x</v>
      </c>
      <c r="T37" s="356">
        <f>W37-7</f>
        <v>3</v>
      </c>
      <c r="U37" s="134">
        <f>W37-5</f>
        <v>5</v>
      </c>
      <c r="V37" s="134">
        <f>W37-3</f>
        <v>7</v>
      </c>
      <c r="W37" s="134">
        <v>10</v>
      </c>
    </row>
    <row r="38" spans="1:23" x14ac:dyDescent="0.3">
      <c r="A38" s="368" t="str">
        <f>TEXT(S38/1000000,"$#,000")&amp;"B - "&amp;TEXT(R38,"0.00%")&amp;" Going-In Cap"</f>
        <v>$906B - 9.63% Going-In Cap</v>
      </c>
      <c r="B38" s="150" t="str">
        <f t="shared" si="7"/>
        <v>15.31% - 1.52x</v>
      </c>
      <c r="C38" s="151" t="str">
        <f t="shared" si="7"/>
        <v>6.11% - 1.31x</v>
      </c>
      <c r="D38" s="151" t="str">
        <f t="shared" si="7"/>
        <v>7.32% - 1.55x</v>
      </c>
      <c r="E38" s="152" t="str">
        <f t="shared" si="7"/>
        <v>7.70% - 1.85x</v>
      </c>
      <c r="R38" s="197">
        <f>$B$9/S38</f>
        <v>9.6333861260903875E-2</v>
      </c>
      <c r="S38" s="135">
        <f>S39+$B$43</f>
        <v>905689265</v>
      </c>
      <c r="T38" s="138" t="str">
        <f t="dataTable" ref="T38:W42" dt2D="1" dtr="1" r1="D6" r2="B5" ca="1"/>
        <v>15.31% - 1.52x</v>
      </c>
      <c r="U38" s="137" t="str">
        <v>6.11% - 1.31x</v>
      </c>
      <c r="V38" s="138" t="str">
        <v>7.32% - 1.55x</v>
      </c>
      <c r="W38" s="137" t="str">
        <v>7.70% - 1.85x</v>
      </c>
    </row>
    <row r="39" spans="1:23" x14ac:dyDescent="0.3">
      <c r="A39" s="369" t="str">
        <f>TEXT(S39/1000000,"$#,000")&amp;"B - "&amp;TEXT(R39,"0.00%")&amp;" Going-In Cap"</f>
        <v>$806B - 10.83% Going-In Cap</v>
      </c>
      <c r="B39" s="144" t="str">
        <f t="shared" si="7"/>
        <v>20.04% - 1.70x</v>
      </c>
      <c r="C39" s="145" t="str">
        <f t="shared" si="7"/>
        <v>8.86% - 1.48x</v>
      </c>
      <c r="D39" s="145" t="str">
        <f t="shared" si="7"/>
        <v>9.42% - 1.74x</v>
      </c>
      <c r="E39" s="146" t="str">
        <f t="shared" si="7"/>
        <v>9.28% - 2.08x</v>
      </c>
      <c r="R39" s="197">
        <f t="shared" ref="R39:R42" si="8">$B$9/S39</f>
        <v>0.10829056286358736</v>
      </c>
      <c r="S39" s="135">
        <f>S40+$B$43</f>
        <v>805689265</v>
      </c>
      <c r="T39" s="138" t="str">
        <v>20.04% - 1.70x</v>
      </c>
      <c r="U39" s="137" t="str">
        <v>8.86% - 1.48x</v>
      </c>
      <c r="V39" s="138" t="str">
        <v>9.42% - 1.74x</v>
      </c>
      <c r="W39" s="137" t="str">
        <v>9.28% - 2.08x</v>
      </c>
    </row>
    <row r="40" spans="1:23" x14ac:dyDescent="0.3">
      <c r="A40" s="368" t="str">
        <f>TEXT(S40/1000000,"$#,000")&amp;"B - "&amp;TEXT(R40,"0.00%")&amp;" Going-In Cap"</f>
        <v>$706B - 12.36% Going-In Cap</v>
      </c>
      <c r="B40" s="153" t="str">
        <f t="shared" si="7"/>
        <v>25.63% - 1.95x</v>
      </c>
      <c r="C40" s="132" t="str">
        <f t="shared" si="7"/>
        <v>12.09% - 1.69x</v>
      </c>
      <c r="D40" s="132" t="str">
        <f t="shared" si="7"/>
        <v>11.87% - 1.98x</v>
      </c>
      <c r="E40" s="154" t="str">
        <f t="shared" si="7"/>
        <v>11.14% - 2.37x</v>
      </c>
      <c r="R40" s="197">
        <f>$B$9/S40</f>
        <v>0.12363592352506596</v>
      </c>
      <c r="S40" s="136">
        <v>705689265</v>
      </c>
      <c r="T40" s="138" t="str">
        <v>25.63% - 1.95x</v>
      </c>
      <c r="U40" s="137" t="str">
        <v>12.09% - 1.69x</v>
      </c>
      <c r="V40" s="138" t="str">
        <v>11.87% - 1.98x</v>
      </c>
      <c r="W40" s="137" t="str">
        <v>11.14% - 2.37x</v>
      </c>
    </row>
    <row r="41" spans="1:23" x14ac:dyDescent="0.3">
      <c r="A41" s="370" t="str">
        <f>TEXT(S41/1000000,"$#,000")&amp;"B - "&amp;TEXT(R41,"0.00%")&amp;" Going-In Cap"</f>
        <v>$606B - 14.40% Going-In Cap</v>
      </c>
      <c r="B41" s="147" t="str">
        <f t="shared" si="7"/>
        <v>32.43% - 2.27x</v>
      </c>
      <c r="C41" s="148" t="str">
        <f t="shared" si="7"/>
        <v>15.96% - 1.96x</v>
      </c>
      <c r="D41" s="148" t="str">
        <f t="shared" si="7"/>
        <v>14.80% - 2.30x</v>
      </c>
      <c r="E41" s="149" t="str">
        <f t="shared" si="7"/>
        <v>13.37% - 2.76x</v>
      </c>
      <c r="R41" s="197">
        <f t="shared" si="8"/>
        <v>0.14404835786548073</v>
      </c>
      <c r="S41" s="135">
        <f>S40-$B$43</f>
        <v>605689265</v>
      </c>
      <c r="T41" s="138" t="str">
        <v>32.43% - 2.27x</v>
      </c>
      <c r="U41" s="137" t="str">
        <v>15.96% - 1.96x</v>
      </c>
      <c r="V41" s="138" t="str">
        <v>14.80% - 2.30x</v>
      </c>
      <c r="W41" s="137" t="str">
        <v>13.37% - 2.76x</v>
      </c>
    </row>
    <row r="42" spans="1:23" ht="15" thickBot="1" x14ac:dyDescent="0.35">
      <c r="A42" s="371" t="str">
        <f>TEXT(S42/1000000,"$#,000")&amp;"B - "&amp;TEXT(R42,"0.00%")&amp;" Going-In Cap"</f>
        <v>$506B - 17.25% Going-In Cap</v>
      </c>
      <c r="B42" s="155" t="str">
        <f t="shared" si="7"/>
        <v>40.96% - 2.72x</v>
      </c>
      <c r="C42" s="156" t="str">
        <f t="shared" si="7"/>
        <v>20.74% - 2.35x</v>
      </c>
      <c r="D42" s="156" t="str">
        <f t="shared" si="7"/>
        <v>18.42% - 2.76x</v>
      </c>
      <c r="E42" s="157" t="str">
        <f t="shared" si="7"/>
        <v>16.14% - 3.30x</v>
      </c>
      <c r="R42" s="197">
        <f t="shared" si="8"/>
        <v>0.17253390577709812</v>
      </c>
      <c r="S42" s="135">
        <f>S41-$B$43</f>
        <v>505689265</v>
      </c>
      <c r="T42" s="138" t="str">
        <v>40.96% - 2.72x</v>
      </c>
      <c r="U42" s="137" t="str">
        <v>20.74% - 2.35x</v>
      </c>
      <c r="V42" s="138" t="str">
        <v>18.42% - 2.76x</v>
      </c>
      <c r="W42" s="137" t="str">
        <v>16.14% - 3.30x</v>
      </c>
    </row>
    <row r="43" spans="1:23" x14ac:dyDescent="0.3">
      <c r="A43" s="165" t="s">
        <v>267</v>
      </c>
      <c r="B43" s="375">
        <v>100000000</v>
      </c>
      <c r="C43" s="361"/>
      <c r="D43" s="361"/>
      <c r="E43" s="361"/>
    </row>
  </sheetData>
  <mergeCells count="3">
    <mergeCell ref="A31:B31"/>
    <mergeCell ref="A29:B29"/>
    <mergeCell ref="A35:E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CC87-AF90-46FA-AE2B-C0F2283D6F04}">
  <sheetPr>
    <tabColor rgb="FF00B0F0"/>
    <pageSetUpPr autoPageBreaks="0" fitToPage="1"/>
  </sheetPr>
  <dimension ref="A1:Q251"/>
  <sheetViews>
    <sheetView showGridLines="0" zoomScaleNormal="100" workbookViewId="0">
      <selection activeCell="P24" sqref="P24"/>
    </sheetView>
  </sheetViews>
  <sheetFormatPr defaultRowHeight="14.4" x14ac:dyDescent="0.3"/>
  <cols>
    <col min="1" max="1" width="24" style="2" bestFit="1" customWidth="1"/>
    <col min="2" max="2" width="18.109375" style="2" bestFit="1" customWidth="1"/>
    <col min="3" max="3" width="15.109375" style="2" bestFit="1" customWidth="1"/>
    <col min="4" max="8" width="10.5546875" style="2" customWidth="1"/>
    <col min="9" max="9" width="19.6640625" style="2" bestFit="1" customWidth="1"/>
    <col min="10" max="10" width="8" style="2" customWidth="1"/>
    <col min="11" max="11" width="32.44140625" style="3" customWidth="1"/>
    <col min="12" max="12" width="7" style="2" customWidth="1"/>
    <col min="13" max="14" width="15.6640625" style="281" customWidth="1"/>
    <col min="15" max="17" width="15.6640625" customWidth="1"/>
    <col min="18" max="18" width="20.6640625" bestFit="1" customWidth="1"/>
    <col min="19" max="19" width="6.6640625" bestFit="1" customWidth="1"/>
    <col min="20" max="20" width="10.6640625" bestFit="1" customWidth="1"/>
    <col min="21" max="21" width="7.109375" bestFit="1" customWidth="1"/>
    <col min="22" max="22" width="30.88671875" bestFit="1" customWidth="1"/>
  </cols>
  <sheetData>
    <row r="1" spans="1:17" ht="15" customHeight="1" x14ac:dyDescent="0.3">
      <c r="A1" s="1" t="s">
        <v>146</v>
      </c>
      <c r="B1" s="1"/>
      <c r="C1" s="1"/>
      <c r="D1" s="1"/>
      <c r="E1" s="1"/>
      <c r="F1" s="1"/>
      <c r="G1" s="1"/>
      <c r="H1" s="1"/>
      <c r="I1" s="1"/>
      <c r="J1" s="1"/>
      <c r="K1" s="1"/>
      <c r="L1" s="1"/>
      <c r="M1" s="1"/>
      <c r="N1" s="1"/>
      <c r="O1" s="1"/>
      <c r="P1" s="1"/>
      <c r="Q1" s="1"/>
    </row>
    <row r="2" spans="1:17" ht="15" customHeight="1" x14ac:dyDescent="0.3"/>
    <row r="3" spans="1:17" ht="15" customHeight="1" x14ac:dyDescent="0.3">
      <c r="A3" s="4" t="s">
        <v>18</v>
      </c>
      <c r="B3" s="4"/>
      <c r="C3" s="4"/>
      <c r="D3" s="4"/>
      <c r="E3" s="4"/>
      <c r="F3" s="4"/>
      <c r="G3" s="4"/>
      <c r="H3" s="5"/>
      <c r="I3" s="5"/>
      <c r="K3" s="545" t="s">
        <v>147</v>
      </c>
      <c r="L3" s="545"/>
      <c r="M3" s="285" t="s">
        <v>218</v>
      </c>
      <c r="N3" s="285" t="s">
        <v>219</v>
      </c>
      <c r="O3" s="285" t="s">
        <v>220</v>
      </c>
      <c r="P3" s="285" t="s">
        <v>221</v>
      </c>
      <c r="Q3" s="285" t="s">
        <v>222</v>
      </c>
    </row>
    <row r="4" spans="1:17" ht="15" customHeight="1" thickBot="1" x14ac:dyDescent="0.35">
      <c r="A4" s="6" t="s">
        <v>20</v>
      </c>
      <c r="B4" s="6"/>
      <c r="C4" s="6"/>
      <c r="D4" s="6"/>
      <c r="E4" s="6"/>
      <c r="F4" s="6"/>
      <c r="G4" s="6"/>
      <c r="H4" s="7"/>
      <c r="I4" s="491">
        <v>2808567</v>
      </c>
      <c r="K4" s="286" t="s">
        <v>21</v>
      </c>
      <c r="L4" s="287"/>
      <c r="M4" s="101" t="s">
        <v>309</v>
      </c>
      <c r="N4" s="101" t="s">
        <v>310</v>
      </c>
      <c r="O4" s="101" t="s">
        <v>311</v>
      </c>
      <c r="P4" s="101" t="s">
        <v>19</v>
      </c>
      <c r="Q4" s="101" t="s">
        <v>287</v>
      </c>
    </row>
    <row r="5" spans="1:17" ht="15" customHeight="1" thickTop="1" thickBot="1" x14ac:dyDescent="0.35">
      <c r="A5" s="8" t="s">
        <v>22</v>
      </c>
      <c r="B5" s="8"/>
      <c r="C5" s="8"/>
      <c r="D5" s="8"/>
      <c r="E5" s="8"/>
      <c r="F5" s="8"/>
      <c r="G5" s="8"/>
      <c r="H5" s="9"/>
      <c r="I5" s="492">
        <v>455384</v>
      </c>
      <c r="K5" s="288">
        <v>45657</v>
      </c>
      <c r="L5" s="489">
        <v>0</v>
      </c>
      <c r="M5" s="488">
        <v>70</v>
      </c>
      <c r="N5" s="488">
        <v>65</v>
      </c>
      <c r="O5" s="488">
        <v>60</v>
      </c>
      <c r="P5" s="488">
        <v>70</v>
      </c>
      <c r="Q5" s="488">
        <v>550</v>
      </c>
    </row>
    <row r="6" spans="1:17" ht="15" customHeight="1" thickTop="1" thickBot="1" x14ac:dyDescent="0.35">
      <c r="A6" s="10" t="s">
        <v>23</v>
      </c>
      <c r="B6" s="10"/>
      <c r="C6" s="10"/>
      <c r="D6" s="10"/>
      <c r="E6" s="10"/>
      <c r="F6" s="10"/>
      <c r="G6" s="10"/>
      <c r="H6" s="11"/>
      <c r="I6" s="493">
        <f>I4-I5</f>
        <v>2353183</v>
      </c>
      <c r="K6" s="288">
        <f>EOMONTH(K5,12)</f>
        <v>46022</v>
      </c>
      <c r="L6" s="489">
        <v>0</v>
      </c>
      <c r="M6" s="289">
        <f>M5*(1+$L6)</f>
        <v>70</v>
      </c>
      <c r="N6" s="289">
        <f t="shared" ref="N6:N14" si="0">N5*(1+$L6)</f>
        <v>65</v>
      </c>
      <c r="O6" s="289">
        <f t="shared" ref="O6:O14" si="1">O5*(1+$L6)</f>
        <v>60</v>
      </c>
      <c r="P6" s="289">
        <f t="shared" ref="P6:Q14" si="2">P5*(1+$L6)</f>
        <v>70</v>
      </c>
      <c r="Q6" s="289">
        <f t="shared" si="2"/>
        <v>550</v>
      </c>
    </row>
    <row r="7" spans="1:17" ht="15" customHeight="1" thickTop="1" x14ac:dyDescent="0.3">
      <c r="H7" s="12"/>
      <c r="I7" s="13"/>
      <c r="K7" s="288">
        <f t="shared" ref="K7:K14" si="3">EOMONTH(K6,12)</f>
        <v>46387</v>
      </c>
      <c r="L7" s="489">
        <v>0</v>
      </c>
      <c r="M7" s="289">
        <f t="shared" ref="M7:M14" si="4">M6*(1+$L7)</f>
        <v>70</v>
      </c>
      <c r="N7" s="289">
        <f t="shared" si="0"/>
        <v>65</v>
      </c>
      <c r="O7" s="289">
        <f t="shared" si="1"/>
        <v>60</v>
      </c>
      <c r="P7" s="289">
        <f t="shared" si="2"/>
        <v>70</v>
      </c>
      <c r="Q7" s="289">
        <f t="shared" si="2"/>
        <v>550</v>
      </c>
    </row>
    <row r="8" spans="1:17" ht="15" customHeight="1" x14ac:dyDescent="0.3">
      <c r="A8" s="14" t="s">
        <v>24</v>
      </c>
      <c r="B8" s="14"/>
      <c r="C8" s="14"/>
      <c r="D8" s="14"/>
      <c r="E8" s="14"/>
      <c r="F8" s="14"/>
      <c r="G8" s="14"/>
      <c r="H8" s="14"/>
      <c r="I8" s="15"/>
      <c r="K8" s="288">
        <f t="shared" si="3"/>
        <v>46752</v>
      </c>
      <c r="L8" s="489">
        <v>0.01</v>
      </c>
      <c r="M8" s="289">
        <f t="shared" si="4"/>
        <v>70.7</v>
      </c>
      <c r="N8" s="289">
        <f t="shared" si="0"/>
        <v>65.650000000000006</v>
      </c>
      <c r="O8" s="289">
        <f t="shared" si="1"/>
        <v>60.6</v>
      </c>
      <c r="P8" s="289">
        <f t="shared" si="2"/>
        <v>70.7</v>
      </c>
      <c r="Q8" s="289">
        <f t="shared" si="2"/>
        <v>555.5</v>
      </c>
    </row>
    <row r="9" spans="1:17" ht="15" customHeight="1" thickBot="1" x14ac:dyDescent="0.35">
      <c r="A9" s="16" t="s">
        <v>25</v>
      </c>
      <c r="B9" s="16"/>
      <c r="C9" s="16"/>
      <c r="D9" s="16"/>
      <c r="E9" s="16"/>
      <c r="F9" s="16"/>
      <c r="G9" s="16"/>
      <c r="H9" s="17"/>
      <c r="I9" s="494">
        <v>45292</v>
      </c>
      <c r="K9" s="288">
        <f t="shared" si="3"/>
        <v>47118</v>
      </c>
      <c r="L9" s="489">
        <v>0.01</v>
      </c>
      <c r="M9" s="289">
        <f t="shared" si="4"/>
        <v>71.406999999999996</v>
      </c>
      <c r="N9" s="289">
        <f t="shared" si="0"/>
        <v>66.3065</v>
      </c>
      <c r="O9" s="289">
        <f t="shared" si="1"/>
        <v>61.206000000000003</v>
      </c>
      <c r="P9" s="289">
        <f t="shared" si="2"/>
        <v>71.406999999999996</v>
      </c>
      <c r="Q9" s="289">
        <f t="shared" si="2"/>
        <v>561.05499999999995</v>
      </c>
    </row>
    <row r="10" spans="1:17" ht="15" customHeight="1" thickTop="1" thickBot="1" x14ac:dyDescent="0.35">
      <c r="A10" s="16" t="s">
        <v>26</v>
      </c>
      <c r="B10" s="16"/>
      <c r="C10" s="16"/>
      <c r="D10" s="16"/>
      <c r="E10" s="16"/>
      <c r="F10" s="16"/>
      <c r="G10" s="16"/>
      <c r="H10" s="17"/>
      <c r="I10" s="494">
        <f>EOMONTH(I9,120)</f>
        <v>48975</v>
      </c>
      <c r="K10" s="288">
        <f t="shared" si="3"/>
        <v>47483</v>
      </c>
      <c r="L10" s="489">
        <v>1.4999999999999999E-2</v>
      </c>
      <c r="M10" s="289">
        <f t="shared" si="4"/>
        <v>72.478104999999985</v>
      </c>
      <c r="N10" s="289">
        <f t="shared" si="0"/>
        <v>67.301097499999997</v>
      </c>
      <c r="O10" s="289">
        <f t="shared" si="1"/>
        <v>62.124089999999995</v>
      </c>
      <c r="P10" s="289">
        <f t="shared" si="2"/>
        <v>72.478104999999985</v>
      </c>
      <c r="Q10" s="289">
        <f t="shared" si="2"/>
        <v>569.47082499999988</v>
      </c>
    </row>
    <row r="11" spans="1:17" ht="15" customHeight="1" thickTop="1" thickBot="1" x14ac:dyDescent="0.35">
      <c r="A11" s="18" t="s">
        <v>27</v>
      </c>
      <c r="B11" s="18"/>
      <c r="C11" s="18"/>
      <c r="D11" s="18"/>
      <c r="E11" s="18"/>
      <c r="F11" s="18"/>
      <c r="G11" s="18"/>
      <c r="H11" s="19"/>
      <c r="I11" s="495">
        <v>10</v>
      </c>
      <c r="K11" s="288">
        <f t="shared" si="3"/>
        <v>47848</v>
      </c>
      <c r="L11" s="489">
        <v>0.02</v>
      </c>
      <c r="M11" s="289">
        <f t="shared" si="4"/>
        <v>73.927667099999979</v>
      </c>
      <c r="N11" s="289">
        <f t="shared" si="0"/>
        <v>68.647119450000005</v>
      </c>
      <c r="O11" s="289">
        <f t="shared" si="1"/>
        <v>63.366571799999996</v>
      </c>
      <c r="P11" s="289">
        <f t="shared" si="2"/>
        <v>73.927667099999979</v>
      </c>
      <c r="Q11" s="289">
        <f t="shared" si="2"/>
        <v>580.86024149999992</v>
      </c>
    </row>
    <row r="12" spans="1:17" ht="15" customHeight="1" thickTop="1" thickBot="1" x14ac:dyDescent="0.35">
      <c r="A12" s="16" t="s">
        <v>28</v>
      </c>
      <c r="B12" s="16"/>
      <c r="C12" s="16"/>
      <c r="D12" s="16"/>
      <c r="E12" s="16"/>
      <c r="F12" s="16"/>
      <c r="G12" s="16"/>
      <c r="H12" s="20"/>
      <c r="I12" s="496">
        <v>0.03</v>
      </c>
      <c r="K12" s="288">
        <f t="shared" si="3"/>
        <v>48213</v>
      </c>
      <c r="L12" s="489">
        <v>2.5000000000000001E-2</v>
      </c>
      <c r="M12" s="289">
        <f t="shared" si="4"/>
        <v>75.775858777499977</v>
      </c>
      <c r="N12" s="289">
        <f t="shared" si="0"/>
        <v>70.363297436249994</v>
      </c>
      <c r="O12" s="289">
        <f t="shared" si="1"/>
        <v>64.950736094999996</v>
      </c>
      <c r="P12" s="289">
        <f t="shared" si="2"/>
        <v>75.775858777499977</v>
      </c>
      <c r="Q12" s="289">
        <f t="shared" si="2"/>
        <v>595.3817475374999</v>
      </c>
    </row>
    <row r="13" spans="1:17" ht="15" customHeight="1" thickTop="1" thickBot="1" x14ac:dyDescent="0.35">
      <c r="A13" s="16" t="s">
        <v>29</v>
      </c>
      <c r="B13" s="16"/>
      <c r="C13" s="16"/>
      <c r="D13" s="16"/>
      <c r="E13" s="16"/>
      <c r="F13" s="16"/>
      <c r="G13" s="16"/>
      <c r="H13" s="21"/>
      <c r="I13" s="496">
        <v>1.4999999999999999E-2</v>
      </c>
      <c r="K13" s="288">
        <f t="shared" si="3"/>
        <v>48579</v>
      </c>
      <c r="L13" s="489">
        <v>2.5000000000000001E-2</v>
      </c>
      <c r="M13" s="289">
        <f t="shared" si="4"/>
        <v>77.670255246937472</v>
      </c>
      <c r="N13" s="289">
        <f t="shared" si="0"/>
        <v>72.12237987215623</v>
      </c>
      <c r="O13" s="289">
        <f t="shared" si="1"/>
        <v>66.574504497374988</v>
      </c>
      <c r="P13" s="289">
        <f t="shared" si="2"/>
        <v>77.670255246937472</v>
      </c>
      <c r="Q13" s="289">
        <f t="shared" si="2"/>
        <v>610.26629122593738</v>
      </c>
    </row>
    <row r="14" spans="1:17" ht="15" customHeight="1" thickTop="1" thickBot="1" x14ac:dyDescent="0.35">
      <c r="A14" s="18" t="s">
        <v>30</v>
      </c>
      <c r="B14" s="18"/>
      <c r="C14" s="18"/>
      <c r="D14" s="18"/>
      <c r="E14" s="18"/>
      <c r="F14" s="18"/>
      <c r="G14" s="18"/>
      <c r="H14" s="22"/>
      <c r="I14" s="497">
        <v>0.02</v>
      </c>
      <c r="K14" s="290">
        <f t="shared" si="3"/>
        <v>48944</v>
      </c>
      <c r="L14" s="490">
        <v>0.03</v>
      </c>
      <c r="M14" s="291">
        <f t="shared" si="4"/>
        <v>80.000362904345593</v>
      </c>
      <c r="N14" s="291">
        <f t="shared" si="0"/>
        <v>74.286051268320918</v>
      </c>
      <c r="O14" s="291">
        <f t="shared" si="1"/>
        <v>68.571739632296243</v>
      </c>
      <c r="P14" s="291">
        <f t="shared" si="2"/>
        <v>80.000362904345593</v>
      </c>
      <c r="Q14" s="291">
        <f t="shared" si="2"/>
        <v>628.57427996271554</v>
      </c>
    </row>
    <row r="15" spans="1:17" ht="15" customHeight="1" thickTop="1" thickBot="1" x14ac:dyDescent="0.35">
      <c r="A15" s="16" t="s">
        <v>31</v>
      </c>
      <c r="B15" s="16"/>
      <c r="C15" s="16"/>
      <c r="D15" s="16"/>
      <c r="E15" s="16"/>
      <c r="F15" s="16"/>
      <c r="G15" s="16"/>
      <c r="H15" s="20"/>
      <c r="I15" s="496">
        <v>0.1</v>
      </c>
      <c r="K15" s="286" t="s">
        <v>32</v>
      </c>
      <c r="L15" s="287"/>
      <c r="M15" s="292"/>
      <c r="N15" s="292"/>
      <c r="O15" s="292"/>
      <c r="P15" s="292"/>
      <c r="Q15" s="292"/>
    </row>
    <row r="16" spans="1:17" ht="15" customHeight="1" thickTop="1" thickBot="1" x14ac:dyDescent="0.35">
      <c r="A16" s="16" t="s">
        <v>33</v>
      </c>
      <c r="B16" s="16"/>
      <c r="C16" s="16"/>
      <c r="D16" s="16"/>
      <c r="E16" s="16"/>
      <c r="F16" s="16"/>
      <c r="G16" s="16"/>
      <c r="H16" s="20"/>
      <c r="I16" s="496">
        <v>0.01</v>
      </c>
      <c r="K16" s="293" t="s">
        <v>34</v>
      </c>
      <c r="L16" s="294"/>
      <c r="M16" s="510" t="s">
        <v>925</v>
      </c>
      <c r="N16" s="508">
        <v>10</v>
      </c>
      <c r="O16" s="508">
        <v>10</v>
      </c>
      <c r="P16" s="509">
        <v>7</v>
      </c>
      <c r="Q16" s="509">
        <v>5</v>
      </c>
    </row>
    <row r="17" spans="1:17" ht="15" customHeight="1" thickTop="1" thickBot="1" x14ac:dyDescent="0.35">
      <c r="A17" s="16" t="s">
        <v>314</v>
      </c>
      <c r="B17" s="16"/>
      <c r="C17" s="16"/>
      <c r="D17" s="16"/>
      <c r="E17" s="16"/>
      <c r="F17" s="16"/>
      <c r="G17" s="16"/>
      <c r="H17" s="20"/>
      <c r="I17" s="523">
        <v>0.03</v>
      </c>
      <c r="K17" s="295" t="s">
        <v>35</v>
      </c>
      <c r="L17" s="296"/>
      <c r="M17" s="511">
        <v>0.6</v>
      </c>
      <c r="N17" s="511">
        <v>0.6</v>
      </c>
      <c r="O17" s="511">
        <v>0.6</v>
      </c>
      <c r="P17" s="512">
        <v>0.6</v>
      </c>
      <c r="Q17" s="512">
        <v>0.7</v>
      </c>
    </row>
    <row r="18" spans="1:17" ht="15" customHeight="1" thickTop="1" thickBot="1" x14ac:dyDescent="0.35">
      <c r="A18" s="23" t="s">
        <v>36</v>
      </c>
      <c r="B18" s="23"/>
      <c r="C18" s="23"/>
      <c r="D18" s="23"/>
      <c r="E18" s="23"/>
      <c r="F18" s="23"/>
      <c r="G18" s="23"/>
      <c r="H18" s="24"/>
      <c r="I18" s="498"/>
      <c r="K18" s="286" t="s">
        <v>37</v>
      </c>
      <c r="L18" s="287"/>
      <c r="M18" s="292"/>
      <c r="N18" s="292"/>
      <c r="O18" s="292"/>
      <c r="P18" s="292"/>
      <c r="Q18" s="292"/>
    </row>
    <row r="19" spans="1:17" ht="15" customHeight="1" thickTop="1" x14ac:dyDescent="0.3">
      <c r="K19" s="293" t="s">
        <v>38</v>
      </c>
      <c r="L19" s="294"/>
      <c r="M19" s="508">
        <v>12</v>
      </c>
      <c r="N19" s="508">
        <v>12</v>
      </c>
      <c r="O19" s="508">
        <v>12</v>
      </c>
      <c r="P19" s="509">
        <v>6</v>
      </c>
      <c r="Q19" s="509">
        <v>6</v>
      </c>
    </row>
    <row r="20" spans="1:17" ht="15" customHeight="1" x14ac:dyDescent="0.3">
      <c r="A20" s="14" t="s">
        <v>39</v>
      </c>
      <c r="B20" s="14"/>
      <c r="C20" s="14"/>
      <c r="D20" s="14"/>
      <c r="E20" s="14"/>
      <c r="F20" s="14"/>
      <c r="G20" s="14"/>
      <c r="H20" s="14"/>
      <c r="I20" s="15"/>
      <c r="K20" s="297" t="s">
        <v>40</v>
      </c>
      <c r="L20" s="298"/>
      <c r="M20" s="63">
        <f>(M19*M$17)+(0*(1-M$17))</f>
        <v>7.1999999999999993</v>
      </c>
      <c r="N20" s="63">
        <f t="shared" ref="N20:Q20" si="5">(N19*N$17)+(0*(1-N$17))</f>
        <v>7.1999999999999993</v>
      </c>
      <c r="O20" s="63">
        <f t="shared" si="5"/>
        <v>7.1999999999999993</v>
      </c>
      <c r="P20" s="299">
        <f t="shared" si="5"/>
        <v>3.5999999999999996</v>
      </c>
      <c r="Q20" s="299">
        <f t="shared" si="5"/>
        <v>4.1999999999999993</v>
      </c>
    </row>
    <row r="21" spans="1:17" ht="15" customHeight="1" thickBot="1" x14ac:dyDescent="0.35">
      <c r="A21" s="16" t="s">
        <v>315</v>
      </c>
      <c r="B21" s="16"/>
      <c r="C21" s="16"/>
      <c r="D21" s="16"/>
      <c r="E21" s="16"/>
      <c r="F21" s="16"/>
      <c r="G21" s="16"/>
      <c r="H21" s="25">
        <f t="shared" ref="H21:H30" si="6">I21/$I$6</f>
        <v>18.281621106390791</v>
      </c>
      <c r="I21" s="499">
        <v>43020000</v>
      </c>
      <c r="K21" s="286" t="s">
        <v>42</v>
      </c>
      <c r="L21" s="287"/>
      <c r="M21" s="292"/>
      <c r="N21" s="292"/>
      <c r="O21" s="292"/>
      <c r="P21" s="292"/>
      <c r="Q21" s="292"/>
    </row>
    <row r="22" spans="1:17" ht="15" customHeight="1" thickTop="1" thickBot="1" x14ac:dyDescent="0.35">
      <c r="A22" s="26" t="s">
        <v>316</v>
      </c>
      <c r="B22" s="26"/>
      <c r="C22" s="26"/>
      <c r="D22" s="26"/>
      <c r="E22" s="26"/>
      <c r="F22" s="26"/>
      <c r="G22" s="26"/>
      <c r="H22" s="27">
        <f t="shared" si="6"/>
        <v>1.444157126751298</v>
      </c>
      <c r="I22" s="500">
        <v>3398366</v>
      </c>
      <c r="K22" s="293" t="s">
        <v>44</v>
      </c>
      <c r="L22" s="294"/>
      <c r="M22" s="513">
        <v>70</v>
      </c>
      <c r="N22" s="513">
        <v>65</v>
      </c>
      <c r="O22" s="513">
        <v>60</v>
      </c>
      <c r="P22" s="514">
        <v>70</v>
      </c>
      <c r="Q22" s="514">
        <v>550</v>
      </c>
    </row>
    <row r="23" spans="1:17" ht="15" customHeight="1" thickTop="1" thickBot="1" x14ac:dyDescent="0.35">
      <c r="A23" s="26" t="s">
        <v>317</v>
      </c>
      <c r="B23" s="26"/>
      <c r="C23" s="26"/>
      <c r="D23" s="26"/>
      <c r="E23" s="26"/>
      <c r="F23" s="26"/>
      <c r="G23" s="26"/>
      <c r="H23" s="27">
        <f t="shared" si="6"/>
        <v>2.3322750504316918</v>
      </c>
      <c r="I23" s="501">
        <v>5488270</v>
      </c>
      <c r="K23" s="295" t="s">
        <v>46</v>
      </c>
      <c r="L23" s="296"/>
      <c r="M23" s="515">
        <v>0.01</v>
      </c>
      <c r="N23" s="515">
        <v>0.01</v>
      </c>
      <c r="O23" s="515">
        <v>0.01</v>
      </c>
      <c r="P23" s="516">
        <v>0.01</v>
      </c>
      <c r="Q23" s="516"/>
    </row>
    <row r="24" spans="1:17" ht="15" customHeight="1" thickTop="1" thickBot="1" x14ac:dyDescent="0.35">
      <c r="A24" s="26" t="s">
        <v>318</v>
      </c>
      <c r="B24" s="26"/>
      <c r="C24" s="26"/>
      <c r="D24" s="26"/>
      <c r="E24" s="26"/>
      <c r="F24" s="26"/>
      <c r="G24" s="26"/>
      <c r="H24" s="27">
        <f t="shared" si="6"/>
        <v>3.9670093656124492</v>
      </c>
      <c r="I24" s="501">
        <v>9335099</v>
      </c>
      <c r="K24" s="286" t="s">
        <v>48</v>
      </c>
      <c r="L24" s="287"/>
      <c r="M24" s="292"/>
      <c r="N24" s="292"/>
      <c r="O24" s="292"/>
      <c r="P24" s="292"/>
      <c r="Q24" s="292"/>
    </row>
    <row r="25" spans="1:17" ht="15" customHeight="1" thickTop="1" thickBot="1" x14ac:dyDescent="0.35">
      <c r="A25" s="26" t="s">
        <v>319</v>
      </c>
      <c r="B25" s="26"/>
      <c r="C25" s="26"/>
      <c r="D25" s="26"/>
      <c r="E25" s="26"/>
      <c r="F25" s="26"/>
      <c r="G25" s="26"/>
      <c r="H25" s="27">
        <f t="shared" si="6"/>
        <v>2.2211693693180683</v>
      </c>
      <c r="I25" s="501">
        <v>5226818</v>
      </c>
      <c r="K25" s="293" t="s">
        <v>50</v>
      </c>
      <c r="L25" s="294"/>
      <c r="M25" s="508">
        <v>2</v>
      </c>
      <c r="N25" s="508">
        <v>4</v>
      </c>
      <c r="O25" s="508">
        <v>4</v>
      </c>
      <c r="P25" s="509">
        <v>2</v>
      </c>
      <c r="Q25" s="509">
        <v>0</v>
      </c>
    </row>
    <row r="26" spans="1:17" ht="15" customHeight="1" thickTop="1" thickBot="1" x14ac:dyDescent="0.35">
      <c r="A26" s="26" t="s">
        <v>320</v>
      </c>
      <c r="B26" s="26"/>
      <c r="C26" s="26"/>
      <c r="D26" s="26"/>
      <c r="E26" s="26"/>
      <c r="F26" s="26"/>
      <c r="G26" s="26"/>
      <c r="H26" s="27">
        <f t="shared" si="6"/>
        <v>3.2821752494387391</v>
      </c>
      <c r="I26" s="501">
        <v>7723559</v>
      </c>
      <c r="K26" s="301" t="s">
        <v>52</v>
      </c>
      <c r="L26" s="302"/>
      <c r="M26" s="508">
        <v>2</v>
      </c>
      <c r="N26" s="508">
        <v>2</v>
      </c>
      <c r="O26" s="508">
        <v>2</v>
      </c>
      <c r="P26" s="509">
        <v>2</v>
      </c>
      <c r="Q26" s="509">
        <v>0</v>
      </c>
    </row>
    <row r="27" spans="1:17" ht="15" customHeight="1" thickTop="1" thickBot="1" x14ac:dyDescent="0.35">
      <c r="A27" s="26" t="s">
        <v>321</v>
      </c>
      <c r="B27" s="26"/>
      <c r="C27" s="26"/>
      <c r="D27" s="26"/>
      <c r="E27" s="26"/>
      <c r="F27" s="26"/>
      <c r="G27" s="26"/>
      <c r="H27" s="27">
        <f t="shared" si="6"/>
        <v>0.6076875449125716</v>
      </c>
      <c r="I27" s="500">
        <v>1430000</v>
      </c>
      <c r="K27" s="295" t="s">
        <v>40</v>
      </c>
      <c r="L27" s="296"/>
      <c r="M27" s="481">
        <f>(M26*M$17)+(M25*(1-M$17))</f>
        <v>2</v>
      </c>
      <c r="N27" s="481">
        <f t="shared" ref="N27:Q27" si="7">(N26*N$17)+(N25*(1-N$17))</f>
        <v>2.8</v>
      </c>
      <c r="O27" s="481">
        <f t="shared" si="7"/>
        <v>2.8</v>
      </c>
      <c r="P27" s="482">
        <f t="shared" si="7"/>
        <v>2</v>
      </c>
      <c r="Q27" s="482">
        <f t="shared" si="7"/>
        <v>0</v>
      </c>
    </row>
    <row r="28" spans="1:17" ht="15" customHeight="1" thickTop="1" thickBot="1" x14ac:dyDescent="0.35">
      <c r="A28" s="26" t="s">
        <v>322</v>
      </c>
      <c r="B28" s="26"/>
      <c r="C28" s="26"/>
      <c r="D28" s="26"/>
      <c r="E28" s="26"/>
      <c r="F28" s="26"/>
      <c r="G28" s="26"/>
      <c r="H28" s="27">
        <f t="shared" si="6"/>
        <v>2.2599929542241295</v>
      </c>
      <c r="I28" s="500">
        <v>5318177</v>
      </c>
      <c r="K28" s="286" t="s">
        <v>55</v>
      </c>
      <c r="L28" s="287"/>
      <c r="M28" s="292"/>
      <c r="N28" s="292"/>
      <c r="O28" s="292"/>
      <c r="P28" s="292"/>
      <c r="Q28" s="292"/>
    </row>
    <row r="29" spans="1:17" ht="15" customHeight="1" thickTop="1" thickBot="1" x14ac:dyDescent="0.35">
      <c r="A29" s="26" t="s">
        <v>323</v>
      </c>
      <c r="B29" s="26"/>
      <c r="C29" s="26"/>
      <c r="D29" s="26"/>
      <c r="E29" s="26"/>
      <c r="F29" s="26"/>
      <c r="G29" s="26"/>
      <c r="H29" s="27">
        <f t="shared" si="6"/>
        <v>2.5660643477366611</v>
      </c>
      <c r="I29" s="500">
        <v>6038419</v>
      </c>
      <c r="K29" s="293" t="s">
        <v>50</v>
      </c>
      <c r="L29" s="294"/>
      <c r="M29" s="513">
        <v>100</v>
      </c>
      <c r="N29" s="513">
        <v>75</v>
      </c>
      <c r="O29" s="513">
        <v>60</v>
      </c>
      <c r="P29" s="514">
        <v>45</v>
      </c>
      <c r="Q29" s="514">
        <v>0</v>
      </c>
    </row>
    <row r="30" spans="1:17" ht="15" customHeight="1" thickTop="1" x14ac:dyDescent="0.3">
      <c r="A30" s="28"/>
      <c r="B30" s="28"/>
      <c r="C30" s="28"/>
      <c r="D30" s="28"/>
      <c r="E30" s="28"/>
      <c r="F30" s="28"/>
      <c r="G30" s="28"/>
      <c r="H30" s="29">
        <f t="shared" si="6"/>
        <v>0</v>
      </c>
      <c r="I30" s="30"/>
      <c r="K30" s="301" t="s">
        <v>52</v>
      </c>
      <c r="L30" s="302"/>
      <c r="M30" s="517">
        <v>50</v>
      </c>
      <c r="N30" s="517">
        <v>40</v>
      </c>
      <c r="O30" s="517">
        <v>30</v>
      </c>
      <c r="P30" s="488">
        <v>25</v>
      </c>
      <c r="Q30" s="488">
        <v>0</v>
      </c>
    </row>
    <row r="31" spans="1:17" ht="15" customHeight="1" x14ac:dyDescent="0.3">
      <c r="A31" s="4" t="s">
        <v>58</v>
      </c>
      <c r="B31" s="4"/>
      <c r="C31" s="4"/>
      <c r="D31" s="4"/>
      <c r="E31" s="4"/>
      <c r="F31" s="4"/>
      <c r="G31" s="4"/>
      <c r="H31" s="31">
        <f>SUM(H21:H30)</f>
        <v>36.962152114816398</v>
      </c>
      <c r="I31" s="32">
        <f>SUM(I21:I30)</f>
        <v>86978708</v>
      </c>
      <c r="K31" s="295" t="s">
        <v>40</v>
      </c>
      <c r="L31" s="296"/>
      <c r="M31" s="62">
        <f>(M30*M$17)+(M29*(1-M$17))</f>
        <v>70</v>
      </c>
      <c r="N31" s="62">
        <f t="shared" ref="N31" si="8">(N30*N$17)+(N29*(1-N$17))</f>
        <v>54</v>
      </c>
      <c r="O31" s="62">
        <f t="shared" ref="O31" si="9">(O30*O$17)+(O29*(1-O$17))</f>
        <v>42</v>
      </c>
      <c r="P31" s="291">
        <f t="shared" ref="P31" si="10">(P30*P$17)+(P29*(1-P$17))</f>
        <v>33</v>
      </c>
      <c r="Q31" s="291">
        <f t="shared" ref="Q31" si="11">(Q30*Q$17)+(Q29*(1-Q$17))</f>
        <v>0</v>
      </c>
    </row>
    <row r="32" spans="1:17" ht="15" customHeight="1" x14ac:dyDescent="0.3">
      <c r="K32" s="286" t="s">
        <v>59</v>
      </c>
      <c r="L32" s="287"/>
      <c r="M32" s="292"/>
      <c r="N32" s="292"/>
      <c r="O32" s="292"/>
      <c r="P32" s="292"/>
      <c r="Q32" s="292"/>
    </row>
    <row r="33" spans="1:17" ht="15" customHeight="1" x14ac:dyDescent="0.3">
      <c r="A33" s="33" t="s">
        <v>60</v>
      </c>
      <c r="B33" s="33"/>
      <c r="C33" s="33"/>
      <c r="D33" s="33"/>
      <c r="E33" s="33"/>
      <c r="F33" s="33"/>
      <c r="G33" s="33"/>
      <c r="H33" s="33"/>
      <c r="I33" s="33"/>
      <c r="K33" s="293" t="s">
        <v>50</v>
      </c>
      <c r="L33" s="294"/>
      <c r="M33" s="518">
        <v>0.06</v>
      </c>
      <c r="N33" s="518">
        <v>0.06</v>
      </c>
      <c r="O33" s="518">
        <v>0.06</v>
      </c>
      <c r="P33" s="518">
        <v>0.06</v>
      </c>
      <c r="Q33" s="518"/>
    </row>
    <row r="34" spans="1:17" ht="15" customHeight="1" x14ac:dyDescent="0.3">
      <c r="A34" s="5" t="s">
        <v>325</v>
      </c>
      <c r="B34" s="5"/>
      <c r="C34" s="5" t="s">
        <v>326</v>
      </c>
      <c r="D34" s="5"/>
      <c r="E34" s="5"/>
      <c r="F34" s="5" t="s">
        <v>327</v>
      </c>
      <c r="G34" s="5"/>
      <c r="H34" s="5"/>
      <c r="I34" s="5" t="s">
        <v>324</v>
      </c>
      <c r="K34" s="301" t="s">
        <v>52</v>
      </c>
      <c r="L34" s="302"/>
      <c r="M34" s="519">
        <v>0.03</v>
      </c>
      <c r="N34" s="519">
        <v>0.03</v>
      </c>
      <c r="O34" s="519">
        <v>0.03</v>
      </c>
      <c r="P34" s="519">
        <v>0.03</v>
      </c>
      <c r="Q34" s="520"/>
    </row>
    <row r="35" spans="1:17" ht="15" customHeight="1" thickBot="1" x14ac:dyDescent="0.35">
      <c r="A35" s="502" t="s">
        <v>19</v>
      </c>
      <c r="B35" s="503"/>
      <c r="C35" s="503" t="s">
        <v>933</v>
      </c>
      <c r="D35" s="503"/>
      <c r="E35" s="503"/>
      <c r="F35" s="504">
        <v>15389</v>
      </c>
      <c r="G35" s="503"/>
      <c r="H35" s="502"/>
      <c r="I35" s="502" t="s">
        <v>19</v>
      </c>
      <c r="K35" s="295" t="s">
        <v>40</v>
      </c>
      <c r="L35" s="296"/>
      <c r="M35" s="64">
        <f>(M34*M$17)+(M33*(1-M$17))</f>
        <v>4.1999999999999996E-2</v>
      </c>
      <c r="N35" s="64">
        <f t="shared" ref="N35" si="12">(N34*N$17)+(N33*(1-N$17))</f>
        <v>4.1999999999999996E-2</v>
      </c>
      <c r="O35" s="64">
        <f t="shared" ref="O35" si="13">(O34*O$17)+(O33*(1-O$17))</f>
        <v>4.1999999999999996E-2</v>
      </c>
      <c r="P35" s="300">
        <f t="shared" ref="P35" si="14">(P34*P$17)+(P33*(1-P$17))</f>
        <v>4.1999999999999996E-2</v>
      </c>
      <c r="Q35" s="300">
        <f t="shared" ref="Q35" si="15">(Q34*Q$17)+(Q33*(1-Q$17))</f>
        <v>0</v>
      </c>
    </row>
    <row r="36" spans="1:17" ht="15" customHeight="1" thickTop="1" thickBot="1" x14ac:dyDescent="0.35">
      <c r="A36" s="505" t="s">
        <v>19</v>
      </c>
      <c r="B36" s="506"/>
      <c r="C36" s="503" t="s">
        <v>933</v>
      </c>
      <c r="D36" s="506"/>
      <c r="E36" s="506"/>
      <c r="F36" s="507">
        <v>2758</v>
      </c>
      <c r="G36" s="506"/>
      <c r="H36" s="505"/>
      <c r="I36" s="505" t="s">
        <v>19</v>
      </c>
      <c r="J36"/>
      <c r="K36" s="286" t="s">
        <v>61</v>
      </c>
      <c r="L36" s="287"/>
      <c r="M36" s="292"/>
      <c r="N36" s="292"/>
      <c r="O36" s="292"/>
      <c r="P36" s="292"/>
      <c r="Q36" s="292"/>
    </row>
    <row r="37" spans="1:17" ht="15" customHeight="1" thickTop="1" thickBot="1" x14ac:dyDescent="0.35">
      <c r="A37" s="505" t="s">
        <v>19</v>
      </c>
      <c r="B37" s="506"/>
      <c r="C37" s="503" t="s">
        <v>933</v>
      </c>
      <c r="D37" s="506"/>
      <c r="E37" s="506"/>
      <c r="F37" s="507">
        <v>5561</v>
      </c>
      <c r="G37" s="506"/>
      <c r="H37" s="505"/>
      <c r="I37" s="505" t="s">
        <v>19</v>
      </c>
      <c r="K37" s="297" t="s">
        <v>62</v>
      </c>
      <c r="L37" s="298"/>
      <c r="M37" s="63" t="s">
        <v>312</v>
      </c>
      <c r="N37" s="63" t="s">
        <v>312</v>
      </c>
      <c r="O37" s="63" t="s">
        <v>312</v>
      </c>
      <c r="P37" s="299" t="s">
        <v>313</v>
      </c>
      <c r="Q37" s="299" t="s">
        <v>239</v>
      </c>
    </row>
    <row r="38" spans="1:17" ht="15" customHeight="1" thickTop="1" thickBot="1" x14ac:dyDescent="0.35">
      <c r="A38" s="505" t="s">
        <v>930</v>
      </c>
      <c r="B38" s="506"/>
      <c r="C38" s="506" t="s">
        <v>934</v>
      </c>
      <c r="D38" s="506"/>
      <c r="E38" s="506"/>
      <c r="F38" s="507">
        <v>35110</v>
      </c>
      <c r="G38" s="506"/>
      <c r="H38" s="505"/>
      <c r="I38" s="505" t="s">
        <v>937</v>
      </c>
      <c r="K38" s="286" t="s">
        <v>271</v>
      </c>
      <c r="L38" s="287"/>
      <c r="M38" s="292"/>
      <c r="N38" s="292"/>
      <c r="O38" s="292"/>
      <c r="P38" s="292"/>
      <c r="Q38" s="292"/>
    </row>
    <row r="39" spans="1:17" ht="15" customHeight="1" thickTop="1" thickBot="1" x14ac:dyDescent="0.35">
      <c r="A39" s="505" t="s">
        <v>930</v>
      </c>
      <c r="B39" s="506"/>
      <c r="C39" s="506" t="s">
        <v>659</v>
      </c>
      <c r="D39" s="506"/>
      <c r="E39" s="506"/>
      <c r="F39" s="507">
        <v>52116</v>
      </c>
      <c r="G39" s="506"/>
      <c r="H39" s="505"/>
      <c r="I39" s="505" t="s">
        <v>937</v>
      </c>
      <c r="K39" s="297" t="s">
        <v>63</v>
      </c>
      <c r="L39" s="298"/>
      <c r="M39" s="63" t="s">
        <v>350</v>
      </c>
      <c r="N39" s="63" t="s">
        <v>369</v>
      </c>
      <c r="O39" s="63" t="s">
        <v>355</v>
      </c>
      <c r="P39" s="299" t="s">
        <v>328</v>
      </c>
      <c r="Q39" s="299" t="s">
        <v>340</v>
      </c>
    </row>
    <row r="40" spans="1:17" ht="15" customHeight="1" thickTop="1" thickBot="1" x14ac:dyDescent="0.35">
      <c r="A40" s="505" t="s">
        <v>930</v>
      </c>
      <c r="B40" s="506"/>
      <c r="C40" s="506" t="s">
        <v>660</v>
      </c>
      <c r="D40" s="506"/>
      <c r="E40" s="506"/>
      <c r="F40" s="507">
        <v>51703</v>
      </c>
      <c r="G40" s="506"/>
      <c r="H40" s="505"/>
      <c r="I40" s="505" t="s">
        <v>937</v>
      </c>
      <c r="K40" s="6"/>
      <c r="L40" s="6"/>
      <c r="M40" s="63" t="s">
        <v>351</v>
      </c>
      <c r="N40" s="63" t="s">
        <v>370</v>
      </c>
      <c r="O40" s="63" t="s">
        <v>356</v>
      </c>
      <c r="P40" s="299" t="s">
        <v>329</v>
      </c>
      <c r="Q40" s="299" t="s">
        <v>341</v>
      </c>
    </row>
    <row r="41" spans="1:17" ht="15" customHeight="1" thickTop="1" thickBot="1" x14ac:dyDescent="0.35">
      <c r="A41" s="505" t="s">
        <v>930</v>
      </c>
      <c r="B41" s="506"/>
      <c r="C41" s="506" t="s">
        <v>594</v>
      </c>
      <c r="D41" s="506"/>
      <c r="E41" s="506"/>
      <c r="F41" s="507">
        <v>51988</v>
      </c>
      <c r="G41" s="506"/>
      <c r="H41" s="505"/>
      <c r="I41" s="505" t="s">
        <v>937</v>
      </c>
      <c r="K41" s="6"/>
      <c r="L41" s="6"/>
      <c r="M41" s="63" t="s">
        <v>352</v>
      </c>
      <c r="N41" s="63" t="s">
        <v>361</v>
      </c>
      <c r="O41" s="63" t="s">
        <v>357</v>
      </c>
      <c r="P41" s="299" t="s">
        <v>330</v>
      </c>
      <c r="Q41" s="299" t="s">
        <v>342</v>
      </c>
    </row>
    <row r="42" spans="1:17" ht="15" customHeight="1" thickTop="1" thickBot="1" x14ac:dyDescent="0.35">
      <c r="A42" s="505" t="s">
        <v>930</v>
      </c>
      <c r="B42" s="506"/>
      <c r="C42" s="506" t="s">
        <v>474</v>
      </c>
      <c r="D42" s="506"/>
      <c r="E42" s="506"/>
      <c r="F42" s="507">
        <v>51971</v>
      </c>
      <c r="G42" s="506"/>
      <c r="H42" s="505"/>
      <c r="I42" s="505" t="s">
        <v>937</v>
      </c>
      <c r="K42" s="6"/>
      <c r="L42" s="6"/>
      <c r="M42" s="63" t="s">
        <v>353</v>
      </c>
      <c r="N42" s="63" t="s">
        <v>371</v>
      </c>
      <c r="O42" s="63" t="s">
        <v>358</v>
      </c>
      <c r="P42" s="299" t="s">
        <v>331</v>
      </c>
      <c r="Q42" s="299" t="s">
        <v>343</v>
      </c>
    </row>
    <row r="43" spans="1:17" ht="15" customHeight="1" thickTop="1" thickBot="1" x14ac:dyDescent="0.35">
      <c r="A43" s="505" t="s">
        <v>930</v>
      </c>
      <c r="B43" s="506"/>
      <c r="C43" s="506" t="s">
        <v>640</v>
      </c>
      <c r="D43" s="506"/>
      <c r="E43" s="506"/>
      <c r="F43" s="507">
        <v>35087</v>
      </c>
      <c r="G43" s="506"/>
      <c r="H43" s="505"/>
      <c r="I43" s="505" t="s">
        <v>937</v>
      </c>
      <c r="K43" s="6"/>
      <c r="L43" s="6"/>
      <c r="M43" s="63" t="s">
        <v>354</v>
      </c>
      <c r="N43" s="63" t="s">
        <v>372</v>
      </c>
      <c r="O43" s="63" t="s">
        <v>359</v>
      </c>
      <c r="P43" s="299" t="s">
        <v>332</v>
      </c>
      <c r="Q43" s="299" t="s">
        <v>344</v>
      </c>
    </row>
    <row r="44" spans="1:17" ht="15" customHeight="1" thickTop="1" thickBot="1" x14ac:dyDescent="0.35">
      <c r="A44" s="505" t="s">
        <v>931</v>
      </c>
      <c r="B44" s="506"/>
      <c r="C44" s="506" t="s">
        <v>622</v>
      </c>
      <c r="D44" s="506"/>
      <c r="E44" s="506"/>
      <c r="F44" s="507">
        <v>25349</v>
      </c>
      <c r="G44" s="506"/>
      <c r="H44" s="505"/>
      <c r="I44" s="505" t="s">
        <v>938</v>
      </c>
      <c r="K44" s="6"/>
      <c r="L44" s="6"/>
      <c r="M44" s="63"/>
      <c r="N44" s="63" t="s">
        <v>373</v>
      </c>
      <c r="O44" s="63" t="s">
        <v>360</v>
      </c>
      <c r="P44" s="299" t="s">
        <v>333</v>
      </c>
      <c r="Q44" s="299" t="s">
        <v>345</v>
      </c>
    </row>
    <row r="45" spans="1:17" ht="15" customHeight="1" thickTop="1" thickBot="1" x14ac:dyDescent="0.35">
      <c r="A45" s="505" t="s">
        <v>931</v>
      </c>
      <c r="B45" s="506"/>
      <c r="C45" s="506" t="s">
        <v>935</v>
      </c>
      <c r="D45" s="506"/>
      <c r="E45" s="506"/>
      <c r="F45" s="507">
        <v>26018</v>
      </c>
      <c r="G45" s="506"/>
      <c r="H45" s="505"/>
      <c r="I45" s="505" t="s">
        <v>938</v>
      </c>
      <c r="K45" s="6"/>
      <c r="L45" s="6"/>
      <c r="M45" s="63"/>
      <c r="N45" s="63" t="s">
        <v>374</v>
      </c>
      <c r="O45" s="63" t="s">
        <v>361</v>
      </c>
      <c r="P45" s="299" t="s">
        <v>334</v>
      </c>
      <c r="Q45" s="299" t="s">
        <v>346</v>
      </c>
    </row>
    <row r="46" spans="1:17" ht="15" customHeight="1" thickTop="1" thickBot="1" x14ac:dyDescent="0.35">
      <c r="A46" s="505" t="s">
        <v>931</v>
      </c>
      <c r="B46" s="506"/>
      <c r="C46" s="506" t="s">
        <v>510</v>
      </c>
      <c r="D46" s="506"/>
      <c r="E46" s="506"/>
      <c r="F46" s="507">
        <v>26620</v>
      </c>
      <c r="G46" s="506"/>
      <c r="H46" s="505"/>
      <c r="I46" s="505" t="s">
        <v>938</v>
      </c>
      <c r="K46" s="6"/>
      <c r="L46" s="6"/>
      <c r="M46" s="63"/>
      <c r="N46" s="63" t="s">
        <v>375</v>
      </c>
      <c r="O46" s="63" t="s">
        <v>362</v>
      </c>
      <c r="P46" s="299" t="s">
        <v>335</v>
      </c>
      <c r="Q46" s="299" t="s">
        <v>347</v>
      </c>
    </row>
    <row r="47" spans="1:17" ht="15" customHeight="1" thickTop="1" thickBot="1" x14ac:dyDescent="0.35">
      <c r="A47" s="505" t="s">
        <v>932</v>
      </c>
      <c r="B47" s="506"/>
      <c r="C47" s="506" t="s">
        <v>936</v>
      </c>
      <c r="D47" s="506"/>
      <c r="E47" s="506"/>
      <c r="F47" s="507">
        <v>23186</v>
      </c>
      <c r="G47" s="506"/>
      <c r="H47" s="505"/>
      <c r="I47" s="505" t="s">
        <v>938</v>
      </c>
      <c r="K47" s="6"/>
      <c r="L47" s="6"/>
      <c r="M47" s="63"/>
      <c r="N47" s="63" t="s">
        <v>376</v>
      </c>
      <c r="O47" s="63" t="s">
        <v>363</v>
      </c>
      <c r="P47" s="299" t="s">
        <v>336</v>
      </c>
      <c r="Q47" s="299" t="s">
        <v>348</v>
      </c>
    </row>
    <row r="48" spans="1:17" ht="15" customHeight="1" thickTop="1" thickBot="1" x14ac:dyDescent="0.35">
      <c r="A48" s="505" t="s">
        <v>930</v>
      </c>
      <c r="B48" s="506"/>
      <c r="C48" s="506" t="s">
        <v>851</v>
      </c>
      <c r="D48" s="506"/>
      <c r="E48" s="506"/>
      <c r="F48" s="507">
        <v>37181</v>
      </c>
      <c r="G48" s="506"/>
      <c r="H48" s="505"/>
      <c r="I48" s="505" t="s">
        <v>939</v>
      </c>
      <c r="K48" s="6"/>
      <c r="L48" s="6"/>
      <c r="M48" s="63"/>
      <c r="N48" s="63" t="s">
        <v>377</v>
      </c>
      <c r="O48" s="63" t="s">
        <v>364</v>
      </c>
      <c r="P48" s="299" t="s">
        <v>337</v>
      </c>
      <c r="Q48" s="299" t="s">
        <v>349</v>
      </c>
    </row>
    <row r="49" spans="1:17" ht="15" customHeight="1" thickTop="1" thickBot="1" x14ac:dyDescent="0.35">
      <c r="A49" s="505" t="s">
        <v>931</v>
      </c>
      <c r="B49" s="506"/>
      <c r="C49" s="506" t="s">
        <v>451</v>
      </c>
      <c r="D49" s="506"/>
      <c r="E49" s="506"/>
      <c r="F49" s="507">
        <v>3112</v>
      </c>
      <c r="G49" s="506"/>
      <c r="H49" s="505"/>
      <c r="I49" s="505" t="s">
        <v>939</v>
      </c>
      <c r="K49" s="6"/>
      <c r="L49" s="6"/>
      <c r="M49" s="63"/>
      <c r="N49" s="63" t="s">
        <v>378</v>
      </c>
      <c r="O49" s="63" t="s">
        <v>365</v>
      </c>
      <c r="P49" s="299" t="s">
        <v>338</v>
      </c>
      <c r="Q49" s="299"/>
    </row>
    <row r="50" spans="1:17" ht="15" customHeight="1" thickTop="1" thickBot="1" x14ac:dyDescent="0.35">
      <c r="A50" s="505" t="s">
        <v>931</v>
      </c>
      <c r="B50" s="506"/>
      <c r="C50" s="506" t="s">
        <v>451</v>
      </c>
      <c r="D50" s="506"/>
      <c r="E50" s="506"/>
      <c r="F50" s="507">
        <v>7668</v>
      </c>
      <c r="G50" s="506"/>
      <c r="H50" s="505"/>
      <c r="I50" s="505" t="s">
        <v>939</v>
      </c>
      <c r="K50" s="6"/>
      <c r="L50" s="6"/>
      <c r="M50" s="63"/>
      <c r="N50" s="63" t="s">
        <v>379</v>
      </c>
      <c r="O50" s="63" t="s">
        <v>366</v>
      </c>
      <c r="P50" s="299" t="s">
        <v>339</v>
      </c>
      <c r="Q50" s="299"/>
    </row>
    <row r="51" spans="1:17" ht="15" customHeight="1" thickTop="1" thickBot="1" x14ac:dyDescent="0.35">
      <c r="A51" s="505" t="s">
        <v>931</v>
      </c>
      <c r="B51" s="506"/>
      <c r="C51" s="506" t="s">
        <v>590</v>
      </c>
      <c r="D51" s="506"/>
      <c r="E51" s="506"/>
      <c r="F51" s="507">
        <v>4567</v>
      </c>
      <c r="G51" s="506"/>
      <c r="H51" s="505"/>
      <c r="I51" s="505" t="s">
        <v>939</v>
      </c>
      <c r="K51" s="10"/>
      <c r="L51" s="10"/>
      <c r="M51" s="65"/>
      <c r="N51" s="65" t="s">
        <v>367</v>
      </c>
      <c r="O51" s="65" t="s">
        <v>367</v>
      </c>
      <c r="P51" s="303" t="s">
        <v>368</v>
      </c>
      <c r="Q51" s="303"/>
    </row>
    <row r="52" spans="1:17" ht="15" customHeight="1" thickTop="1" thickBot="1" x14ac:dyDescent="0.35">
      <c r="A52" s="483" t="s">
        <v>404</v>
      </c>
      <c r="B52" s="484"/>
      <c r="C52" s="484"/>
      <c r="D52" s="484"/>
      <c r="E52" s="484"/>
      <c r="F52" s="484">
        <f>SUM(F35:F51)</f>
        <v>455384</v>
      </c>
      <c r="G52" s="484"/>
      <c r="H52" s="484"/>
      <c r="I52" s="483"/>
      <c r="K52" s="34" t="s">
        <v>272</v>
      </c>
    </row>
    <row r="53" spans="1:17" ht="15" customHeight="1" thickTop="1" x14ac:dyDescent="0.3">
      <c r="A53"/>
      <c r="B53"/>
      <c r="C53"/>
      <c r="D53"/>
      <c r="E53"/>
      <c r="F53"/>
      <c r="G53"/>
      <c r="H53"/>
      <c r="I53"/>
      <c r="J53"/>
      <c r="K53" s="35"/>
    </row>
    <row r="54" spans="1:17" ht="15" customHeight="1" x14ac:dyDescent="0.3">
      <c r="M54" s="3"/>
      <c r="N54"/>
    </row>
    <row r="55" spans="1:17" ht="15" customHeight="1" x14ac:dyDescent="0.3">
      <c r="E55"/>
      <c r="F55"/>
      <c r="G55"/>
      <c r="H55"/>
      <c r="I55"/>
      <c r="M55" s="3"/>
      <c r="N55"/>
    </row>
    <row r="56" spans="1:17" ht="15" customHeight="1" x14ac:dyDescent="0.3">
      <c r="E56"/>
      <c r="F56"/>
      <c r="G56"/>
      <c r="H56"/>
      <c r="I56"/>
      <c r="M56" s="3"/>
      <c r="N56"/>
    </row>
    <row r="57" spans="1:17" ht="15" customHeight="1" x14ac:dyDescent="0.3">
      <c r="E57"/>
      <c r="F57"/>
      <c r="G57"/>
      <c r="H57"/>
      <c r="I57"/>
      <c r="M57" s="485"/>
      <c r="N57"/>
    </row>
    <row r="58" spans="1:17" ht="15" customHeight="1" x14ac:dyDescent="0.3">
      <c r="E58"/>
      <c r="F58"/>
      <c r="G58"/>
      <c r="H58"/>
      <c r="I58"/>
      <c r="M58" s="485"/>
      <c r="N58"/>
    </row>
    <row r="59" spans="1:17" ht="15" customHeight="1" x14ac:dyDescent="0.3">
      <c r="E59"/>
      <c r="F59"/>
      <c r="G59"/>
      <c r="H59"/>
      <c r="I59"/>
      <c r="M59" s="485"/>
      <c r="N59"/>
    </row>
    <row r="60" spans="1:17" ht="15" customHeight="1" x14ac:dyDescent="0.3">
      <c r="E60"/>
      <c r="F60"/>
      <c r="G60"/>
      <c r="H60"/>
      <c r="I60"/>
      <c r="M60" s="486"/>
      <c r="N60"/>
      <c r="O60" s="193"/>
    </row>
    <row r="61" spans="1:17" ht="15" customHeight="1" x14ac:dyDescent="0.3">
      <c r="E61"/>
      <c r="F61"/>
      <c r="G61"/>
      <c r="H61"/>
      <c r="I61"/>
      <c r="M61" s="486"/>
      <c r="N61"/>
    </row>
    <row r="62" spans="1:17" ht="15" customHeight="1" x14ac:dyDescent="0.3">
      <c r="E62"/>
      <c r="F62"/>
      <c r="G62"/>
      <c r="H62"/>
      <c r="I62"/>
      <c r="M62" s="2"/>
      <c r="N62"/>
    </row>
    <row r="63" spans="1:17" ht="15" customHeight="1" x14ac:dyDescent="0.3">
      <c r="E63"/>
      <c r="F63"/>
      <c r="G63"/>
      <c r="H63"/>
      <c r="I63"/>
      <c r="M63" s="2"/>
      <c r="N63"/>
    </row>
    <row r="64" spans="1:17" ht="15" customHeight="1" x14ac:dyDescent="0.3">
      <c r="E64"/>
      <c r="F64"/>
      <c r="G64"/>
      <c r="H64"/>
      <c r="I64"/>
      <c r="M64" s="486"/>
      <c r="N64"/>
      <c r="O64" s="193"/>
    </row>
    <row r="65" spans="1:16" ht="15" customHeight="1" x14ac:dyDescent="0.3">
      <c r="E65"/>
      <c r="F65"/>
      <c r="G65"/>
      <c r="H65"/>
      <c r="I65"/>
      <c r="M65" s="2"/>
      <c r="N65"/>
    </row>
    <row r="66" spans="1:16" ht="15" customHeight="1" x14ac:dyDescent="0.3">
      <c r="E66"/>
      <c r="F66"/>
      <c r="G66"/>
      <c r="H66"/>
      <c r="I66"/>
      <c r="M66" s="2"/>
      <c r="N66"/>
    </row>
    <row r="67" spans="1:16" ht="15" customHeight="1" x14ac:dyDescent="0.3">
      <c r="E67"/>
      <c r="F67"/>
      <c r="G67"/>
      <c r="H67"/>
      <c r="I67"/>
      <c r="M67" s="2"/>
      <c r="N67" s="2"/>
      <c r="O67" s="281"/>
      <c r="P67" s="281"/>
    </row>
    <row r="68" spans="1:16" ht="15" customHeight="1" x14ac:dyDescent="0.3">
      <c r="E68"/>
      <c r="F68"/>
      <c r="G68"/>
      <c r="H68"/>
      <c r="I68"/>
    </row>
    <row r="69" spans="1:16" ht="15" customHeight="1" x14ac:dyDescent="0.3">
      <c r="E69"/>
      <c r="F69"/>
      <c r="G69"/>
      <c r="H69"/>
      <c r="I69"/>
    </row>
    <row r="70" spans="1:16" ht="15" customHeight="1" x14ac:dyDescent="0.3">
      <c r="E70"/>
      <c r="F70"/>
      <c r="G70"/>
      <c r="H70"/>
      <c r="I70"/>
    </row>
    <row r="71" spans="1:16" ht="15" customHeight="1" x14ac:dyDescent="0.3">
      <c r="E71"/>
      <c r="F71"/>
      <c r="G71"/>
      <c r="H71"/>
      <c r="I71"/>
    </row>
    <row r="72" spans="1:16" ht="15" customHeight="1" x14ac:dyDescent="0.3">
      <c r="E72"/>
      <c r="F72"/>
      <c r="G72"/>
      <c r="H72"/>
      <c r="I72"/>
    </row>
    <row r="73" spans="1:16" ht="15" customHeight="1" x14ac:dyDescent="0.3">
      <c r="E73"/>
      <c r="F73"/>
      <c r="G73"/>
      <c r="H73"/>
      <c r="I73"/>
    </row>
    <row r="74" spans="1:16" ht="15" customHeight="1" x14ac:dyDescent="0.3">
      <c r="E74"/>
      <c r="F74"/>
      <c r="G74"/>
      <c r="H74"/>
      <c r="I74"/>
    </row>
    <row r="75" spans="1:16" ht="15" customHeight="1" x14ac:dyDescent="0.3">
      <c r="E75"/>
      <c r="F75"/>
      <c r="G75"/>
      <c r="H75"/>
      <c r="I75"/>
    </row>
    <row r="76" spans="1:16" ht="15" customHeight="1" x14ac:dyDescent="0.3">
      <c r="A76"/>
      <c r="B76"/>
      <c r="C76"/>
      <c r="D76"/>
      <c r="E76"/>
      <c r="F76"/>
      <c r="G76"/>
      <c r="H76"/>
      <c r="I76"/>
    </row>
    <row r="77" spans="1:16" ht="15" customHeight="1" x14ac:dyDescent="0.3">
      <c r="A77"/>
      <c r="B77"/>
      <c r="C77"/>
      <c r="D77"/>
      <c r="E77"/>
      <c r="F77"/>
      <c r="G77"/>
      <c r="H77"/>
      <c r="I77"/>
    </row>
    <row r="78" spans="1:16" ht="15" customHeight="1" x14ac:dyDescent="0.3">
      <c r="A78"/>
      <c r="B78"/>
      <c r="C78"/>
      <c r="D78"/>
      <c r="E78"/>
      <c r="F78"/>
      <c r="G78"/>
      <c r="H78"/>
      <c r="I78"/>
    </row>
    <row r="79" spans="1:16" ht="15" customHeight="1" x14ac:dyDescent="0.3">
      <c r="A79"/>
      <c r="B79"/>
      <c r="C79"/>
      <c r="D79"/>
      <c r="E79"/>
      <c r="F79"/>
      <c r="G79"/>
      <c r="H79"/>
      <c r="I79"/>
    </row>
    <row r="80" spans="1:16" ht="15" customHeight="1" x14ac:dyDescent="0.3">
      <c r="E80"/>
      <c r="F80"/>
      <c r="G80"/>
      <c r="H80"/>
      <c r="I80"/>
    </row>
    <row r="81" spans="1:12" ht="15" customHeight="1" x14ac:dyDescent="0.3">
      <c r="E81"/>
      <c r="F81"/>
      <c r="G81"/>
      <c r="H81"/>
      <c r="I81"/>
    </row>
    <row r="82" spans="1:12" ht="15" customHeight="1" x14ac:dyDescent="0.3">
      <c r="E82"/>
      <c r="F82"/>
      <c r="G82"/>
      <c r="H82"/>
      <c r="I82"/>
    </row>
    <row r="83" spans="1:12" ht="15" customHeight="1" x14ac:dyDescent="0.3">
      <c r="A83"/>
      <c r="B83"/>
      <c r="C83"/>
      <c r="D83"/>
      <c r="E83"/>
      <c r="F83"/>
      <c r="G83"/>
      <c r="H83"/>
      <c r="I83"/>
      <c r="J83"/>
      <c r="K83"/>
      <c r="L83"/>
    </row>
    <row r="84" spans="1:12" ht="15" customHeight="1" x14ac:dyDescent="0.3">
      <c r="A84"/>
      <c r="B84"/>
      <c r="C84"/>
      <c r="D84"/>
      <c r="E84"/>
      <c r="F84"/>
      <c r="G84"/>
      <c r="H84"/>
      <c r="I84"/>
      <c r="J84"/>
      <c r="K84"/>
      <c r="L84"/>
    </row>
    <row r="85" spans="1:12" ht="15" customHeight="1" x14ac:dyDescent="0.3">
      <c r="A85"/>
      <c r="B85"/>
      <c r="C85"/>
      <c r="D85"/>
      <c r="E85"/>
      <c r="F85"/>
      <c r="G85"/>
      <c r="H85"/>
      <c r="I85"/>
      <c r="J85"/>
      <c r="K85"/>
      <c r="L85"/>
    </row>
    <row r="86" spans="1:12" ht="15" customHeight="1" x14ac:dyDescent="0.3">
      <c r="A86"/>
      <c r="B86"/>
      <c r="C86"/>
      <c r="D86"/>
      <c r="E86"/>
      <c r="F86"/>
      <c r="G86"/>
      <c r="H86"/>
      <c r="I86"/>
      <c r="J86"/>
      <c r="K86"/>
      <c r="L86"/>
    </row>
    <row r="87" spans="1:12" ht="15" customHeight="1" x14ac:dyDescent="0.3">
      <c r="A87"/>
      <c r="B87"/>
      <c r="C87"/>
      <c r="D87"/>
      <c r="E87"/>
      <c r="F87"/>
      <c r="G87"/>
      <c r="H87"/>
      <c r="I87"/>
      <c r="J87"/>
      <c r="K87"/>
      <c r="L87"/>
    </row>
    <row r="88" spans="1:12" ht="15" customHeight="1" x14ac:dyDescent="0.3">
      <c r="A88"/>
      <c r="B88"/>
      <c r="C88"/>
      <c r="D88"/>
      <c r="E88"/>
      <c r="F88"/>
      <c r="G88"/>
      <c r="H88"/>
      <c r="I88"/>
      <c r="J88"/>
      <c r="K88"/>
      <c r="L88"/>
    </row>
    <row r="89" spans="1:12" ht="15" customHeight="1" x14ac:dyDescent="0.3">
      <c r="A89"/>
      <c r="B89"/>
      <c r="C89"/>
      <c r="D89"/>
      <c r="E89"/>
      <c r="F89"/>
      <c r="G89"/>
      <c r="H89"/>
      <c r="I89"/>
      <c r="J89"/>
      <c r="K89"/>
      <c r="L89"/>
    </row>
    <row r="90" spans="1:12" ht="15" customHeight="1" x14ac:dyDescent="0.3">
      <c r="A90"/>
      <c r="B90"/>
      <c r="C90"/>
      <c r="D90"/>
      <c r="E90"/>
      <c r="F90"/>
      <c r="G90"/>
      <c r="H90"/>
      <c r="I90"/>
      <c r="J90"/>
      <c r="K90"/>
      <c r="L90"/>
    </row>
    <row r="91" spans="1:12" ht="15" customHeight="1" x14ac:dyDescent="0.3">
      <c r="A91"/>
      <c r="B91"/>
      <c r="C91"/>
      <c r="D91"/>
      <c r="E91"/>
      <c r="F91"/>
      <c r="G91"/>
      <c r="H91"/>
      <c r="I91"/>
      <c r="J91"/>
      <c r="K91"/>
      <c r="L91"/>
    </row>
    <row r="92" spans="1:12" ht="15" customHeight="1" x14ac:dyDescent="0.3">
      <c r="A92"/>
      <c r="B92"/>
      <c r="C92"/>
      <c r="D92"/>
      <c r="E92"/>
      <c r="F92"/>
      <c r="G92"/>
      <c r="H92"/>
      <c r="I92"/>
      <c r="J92"/>
      <c r="K92"/>
      <c r="L92"/>
    </row>
    <row r="93" spans="1:12" ht="15" customHeight="1" x14ac:dyDescent="0.3">
      <c r="A93"/>
      <c r="B93"/>
      <c r="C93"/>
      <c r="D93"/>
      <c r="E93"/>
      <c r="F93"/>
      <c r="G93"/>
      <c r="H93"/>
      <c r="I93"/>
      <c r="J93"/>
      <c r="K93"/>
      <c r="L93"/>
    </row>
    <row r="94" spans="1:12" ht="15" customHeight="1" x14ac:dyDescent="0.3">
      <c r="A94"/>
      <c r="B94"/>
      <c r="C94"/>
      <c r="D94"/>
      <c r="E94"/>
      <c r="F94"/>
      <c r="G94"/>
      <c r="H94"/>
      <c r="I94"/>
      <c r="J94"/>
      <c r="K94"/>
      <c r="L94"/>
    </row>
    <row r="95" spans="1:12" ht="15" customHeight="1" x14ac:dyDescent="0.3">
      <c r="A95"/>
      <c r="B95"/>
      <c r="C95"/>
      <c r="D95"/>
      <c r="E95"/>
      <c r="F95"/>
      <c r="G95"/>
      <c r="H95"/>
      <c r="I95"/>
      <c r="J95"/>
      <c r="K95"/>
      <c r="L95"/>
    </row>
    <row r="96" spans="1:12" ht="15" customHeight="1" x14ac:dyDescent="0.3">
      <c r="A96"/>
      <c r="B96"/>
      <c r="C96"/>
      <c r="D96"/>
      <c r="E96"/>
      <c r="F96"/>
      <c r="G96"/>
      <c r="H96"/>
      <c r="I96"/>
      <c r="J96"/>
      <c r="K96"/>
      <c r="L96"/>
    </row>
    <row r="97" spans="1:12" ht="15" customHeight="1" x14ac:dyDescent="0.3">
      <c r="A97"/>
      <c r="B97"/>
      <c r="C97"/>
      <c r="D97"/>
      <c r="E97"/>
      <c r="F97"/>
      <c r="G97"/>
      <c r="H97"/>
      <c r="I97"/>
      <c r="J97"/>
      <c r="K97"/>
      <c r="L97"/>
    </row>
    <row r="98" spans="1:12" ht="15" customHeight="1" x14ac:dyDescent="0.3">
      <c r="A98"/>
      <c r="B98"/>
      <c r="C98"/>
      <c r="D98"/>
      <c r="E98"/>
      <c r="F98"/>
      <c r="G98"/>
      <c r="H98"/>
      <c r="I98"/>
      <c r="J98"/>
      <c r="K98"/>
      <c r="L98"/>
    </row>
    <row r="99" spans="1:12" ht="15" customHeight="1" x14ac:dyDescent="0.3">
      <c r="A99"/>
      <c r="B99"/>
      <c r="C99"/>
      <c r="D99"/>
      <c r="E99"/>
      <c r="F99"/>
      <c r="G99"/>
      <c r="H99"/>
      <c r="I99"/>
      <c r="J99"/>
      <c r="K99"/>
      <c r="L99"/>
    </row>
    <row r="100" spans="1:12" ht="15" customHeight="1" x14ac:dyDescent="0.3"/>
    <row r="101" spans="1:12" ht="15" customHeight="1" x14ac:dyDescent="0.3"/>
    <row r="102" spans="1:12" ht="15" customHeight="1" x14ac:dyDescent="0.3"/>
    <row r="103" spans="1:12" ht="15" customHeight="1" x14ac:dyDescent="0.3"/>
    <row r="104" spans="1:12" ht="15" customHeight="1" x14ac:dyDescent="0.3"/>
    <row r="105" spans="1:12" ht="15" customHeight="1" x14ac:dyDescent="0.3"/>
    <row r="106" spans="1:12" ht="15" customHeight="1" x14ac:dyDescent="0.3"/>
    <row r="107" spans="1:12" ht="15" customHeight="1" x14ac:dyDescent="0.3">
      <c r="H107" s="304"/>
    </row>
    <row r="108" spans="1:12" ht="15" customHeight="1" x14ac:dyDescent="0.3">
      <c r="H108" s="304"/>
    </row>
    <row r="109" spans="1:12" ht="15" customHeight="1" x14ac:dyDescent="0.3">
      <c r="H109" s="304"/>
    </row>
    <row r="110" spans="1:12" ht="15" customHeight="1" x14ac:dyDescent="0.3">
      <c r="H110" s="304"/>
    </row>
    <row r="111" spans="1:12" ht="15" customHeight="1" x14ac:dyDescent="0.3">
      <c r="H111" s="304"/>
    </row>
    <row r="112" spans="1:12" ht="15" customHeight="1" x14ac:dyDescent="0.3">
      <c r="H112" s="281"/>
    </row>
    <row r="113" spans="11:14" ht="15" customHeight="1" x14ac:dyDescent="0.3"/>
    <row r="114" spans="11:14" ht="15" customHeight="1" x14ac:dyDescent="0.3"/>
    <row r="115" spans="11:14" ht="15" customHeight="1" x14ac:dyDescent="0.3"/>
    <row r="116" spans="11:14" ht="15" customHeight="1" x14ac:dyDescent="0.3"/>
    <row r="117" spans="11:14" ht="15" customHeight="1" x14ac:dyDescent="0.3"/>
    <row r="118" spans="11:14" ht="15" customHeight="1" x14ac:dyDescent="0.3"/>
    <row r="119" spans="11:14" ht="15" customHeight="1" x14ac:dyDescent="0.3">
      <c r="K119"/>
      <c r="L119"/>
      <c r="M119"/>
      <c r="N119"/>
    </row>
    <row r="120" spans="11:14" ht="15" customHeight="1" x14ac:dyDescent="0.3">
      <c r="K120"/>
      <c r="L120"/>
      <c r="M120"/>
      <c r="N120"/>
    </row>
    <row r="121" spans="11:14" ht="15" customHeight="1" x14ac:dyDescent="0.3">
      <c r="K121"/>
      <c r="L121"/>
      <c r="M121"/>
      <c r="N121"/>
    </row>
    <row r="122" spans="11:14" ht="15" customHeight="1" x14ac:dyDescent="0.3">
      <c r="K122"/>
      <c r="L122"/>
      <c r="M122"/>
      <c r="N122"/>
    </row>
    <row r="123" spans="11:14" ht="15" customHeight="1" x14ac:dyDescent="0.3">
      <c r="K123"/>
      <c r="L123"/>
      <c r="M123"/>
      <c r="N123"/>
    </row>
    <row r="124" spans="11:14" ht="15" customHeight="1" x14ac:dyDescent="0.3">
      <c r="K124"/>
      <c r="L124"/>
      <c r="M124"/>
      <c r="N124"/>
    </row>
    <row r="125" spans="11:14" ht="15" customHeight="1" x14ac:dyDescent="0.3">
      <c r="K125"/>
      <c r="L125"/>
      <c r="M125"/>
      <c r="N125"/>
    </row>
    <row r="126" spans="11:14" ht="15" customHeight="1" x14ac:dyDescent="0.3">
      <c r="K126"/>
      <c r="L126"/>
      <c r="M126"/>
      <c r="N126"/>
    </row>
    <row r="127" spans="11:14" ht="15" customHeight="1" x14ac:dyDescent="0.3">
      <c r="K127"/>
      <c r="L127"/>
      <c r="M127"/>
      <c r="N127"/>
    </row>
    <row r="128" spans="11:14" ht="15" customHeight="1" x14ac:dyDescent="0.3">
      <c r="K128"/>
      <c r="L128"/>
      <c r="M128"/>
      <c r="N128"/>
    </row>
    <row r="129" spans="11:14" ht="15" customHeight="1" x14ac:dyDescent="0.3">
      <c r="K129"/>
      <c r="L129"/>
      <c r="M129"/>
      <c r="N129"/>
    </row>
    <row r="130" spans="11:14" ht="15" customHeight="1" x14ac:dyDescent="0.3">
      <c r="K130"/>
      <c r="L130"/>
      <c r="M130"/>
      <c r="N130"/>
    </row>
    <row r="131" spans="11:14" ht="15" customHeight="1" x14ac:dyDescent="0.3">
      <c r="K131"/>
      <c r="L131"/>
      <c r="M131"/>
      <c r="N131"/>
    </row>
    <row r="132" spans="11:14" ht="15" customHeight="1" x14ac:dyDescent="0.3">
      <c r="K132"/>
      <c r="L132"/>
      <c r="M132"/>
      <c r="N132"/>
    </row>
    <row r="133" spans="11:14" ht="15" customHeight="1" x14ac:dyDescent="0.3">
      <c r="K133"/>
      <c r="L133"/>
      <c r="M133"/>
      <c r="N133"/>
    </row>
    <row r="134" spans="11:14" ht="15" customHeight="1" x14ac:dyDescent="0.3">
      <c r="K134"/>
      <c r="L134"/>
      <c r="M134"/>
      <c r="N134"/>
    </row>
    <row r="135" spans="11:14" ht="15" customHeight="1" x14ac:dyDescent="0.3">
      <c r="K135"/>
      <c r="L135"/>
      <c r="M135"/>
      <c r="N135"/>
    </row>
    <row r="136" spans="11:14" ht="15" customHeight="1" x14ac:dyDescent="0.3">
      <c r="K136"/>
      <c r="L136"/>
      <c r="M136"/>
      <c r="N136"/>
    </row>
    <row r="137" spans="11:14" ht="15" customHeight="1" x14ac:dyDescent="0.3"/>
    <row r="138" spans="11:14" ht="15" customHeight="1" x14ac:dyDescent="0.3"/>
    <row r="139" spans="11:14" ht="15" customHeight="1" x14ac:dyDescent="0.3"/>
    <row r="140" spans="11:14" ht="15" customHeight="1" x14ac:dyDescent="0.3"/>
    <row r="141" spans="11:14" ht="15" customHeight="1" x14ac:dyDescent="0.3"/>
    <row r="142" spans="11:14" ht="15" customHeight="1" x14ac:dyDescent="0.3"/>
    <row r="143" spans="11:14" ht="15" customHeight="1" x14ac:dyDescent="0.3"/>
    <row r="144" spans="11:14" ht="15" customHeight="1" x14ac:dyDescent="0.3"/>
    <row r="145" spans="9:15" ht="15" customHeight="1" x14ac:dyDescent="0.3"/>
    <row r="146" spans="9:15" ht="15" customHeight="1" x14ac:dyDescent="0.3"/>
    <row r="147" spans="9:15" ht="15" customHeight="1" x14ac:dyDescent="0.3"/>
    <row r="148" spans="9:15" ht="15" customHeight="1" x14ac:dyDescent="0.3"/>
    <row r="149" spans="9:15" ht="15" customHeight="1" x14ac:dyDescent="0.3"/>
    <row r="150" spans="9:15" ht="15" customHeight="1" x14ac:dyDescent="0.3"/>
    <row r="151" spans="9:15" ht="15" customHeight="1" x14ac:dyDescent="0.3"/>
    <row r="152" spans="9:15" ht="15" customHeight="1" x14ac:dyDescent="0.3"/>
    <row r="153" spans="9:15" ht="15" customHeight="1" x14ac:dyDescent="0.3"/>
    <row r="154" spans="9:15" ht="15" customHeight="1" x14ac:dyDescent="0.3">
      <c r="K154" s="2"/>
    </row>
    <row r="155" spans="9:15" ht="15" customHeight="1" x14ac:dyDescent="0.3">
      <c r="I155" s="3"/>
      <c r="K155" s="2"/>
    </row>
    <row r="156" spans="9:15" ht="15" customHeight="1" x14ac:dyDescent="0.3">
      <c r="K156" s="2"/>
    </row>
    <row r="157" spans="9:15" ht="15" customHeight="1" x14ac:dyDescent="0.3">
      <c r="K157" s="2"/>
    </row>
    <row r="158" spans="9:15" ht="15" customHeight="1" x14ac:dyDescent="0.3">
      <c r="K158" s="2"/>
    </row>
    <row r="159" spans="9:15" ht="15" customHeight="1" x14ac:dyDescent="0.3">
      <c r="K159" s="2"/>
    </row>
    <row r="160" spans="9:15" ht="15" customHeight="1" x14ac:dyDescent="0.3">
      <c r="K160" s="2"/>
      <c r="M160"/>
      <c r="N160"/>
      <c r="O160" s="197"/>
    </row>
    <row r="161" spans="8:15" ht="15" customHeight="1" x14ac:dyDescent="0.3">
      <c r="K161" s="2"/>
    </row>
    <row r="162" spans="8:15" ht="15" customHeight="1" x14ac:dyDescent="0.3">
      <c r="K162" s="2"/>
    </row>
    <row r="163" spans="8:15" ht="15" customHeight="1" x14ac:dyDescent="0.3">
      <c r="K163" s="2"/>
    </row>
    <row r="164" spans="8:15" ht="15" customHeight="1" x14ac:dyDescent="0.3">
      <c r="K164" s="2"/>
    </row>
    <row r="165" spans="8:15" ht="15" customHeight="1" x14ac:dyDescent="0.3">
      <c r="K165" s="2"/>
      <c r="M165"/>
      <c r="N165"/>
      <c r="O165" s="197"/>
    </row>
    <row r="166" spans="8:15" ht="15" customHeight="1" x14ac:dyDescent="0.3">
      <c r="K166" s="2"/>
      <c r="M166"/>
      <c r="N166"/>
    </row>
    <row r="167" spans="8:15" ht="15" customHeight="1" x14ac:dyDescent="0.3">
      <c r="H167" s="36"/>
      <c r="K167" s="2"/>
      <c r="M167"/>
      <c r="N167"/>
    </row>
    <row r="168" spans="8:15" ht="15" customHeight="1" x14ac:dyDescent="0.3"/>
    <row r="169" spans="8:15" ht="15" customHeight="1" x14ac:dyDescent="0.3"/>
    <row r="170" spans="8:15" ht="15" customHeight="1" x14ac:dyDescent="0.3"/>
    <row r="171" spans="8:15" ht="15" customHeight="1" x14ac:dyDescent="0.3">
      <c r="K171" s="2"/>
      <c r="M171"/>
      <c r="N171"/>
    </row>
    <row r="172" spans="8:15" ht="15" customHeight="1" x14ac:dyDescent="0.3">
      <c r="K172" s="2"/>
      <c r="M172"/>
      <c r="N172"/>
    </row>
    <row r="173" spans="8:15" ht="15" customHeight="1" x14ac:dyDescent="0.3">
      <c r="K173" s="2"/>
      <c r="M173"/>
      <c r="N173"/>
    </row>
    <row r="174" spans="8:15" ht="15" customHeight="1" x14ac:dyDescent="0.3">
      <c r="K174" s="2"/>
      <c r="M174"/>
      <c r="N174"/>
    </row>
    <row r="175" spans="8:15" ht="15" customHeight="1" x14ac:dyDescent="0.3">
      <c r="K175" s="2"/>
      <c r="M175"/>
      <c r="N175"/>
    </row>
    <row r="176" spans="8:15" ht="15" customHeight="1" x14ac:dyDescent="0.3">
      <c r="K176" s="2"/>
      <c r="M176"/>
      <c r="N176"/>
    </row>
    <row r="177" spans="5:14" ht="15" customHeight="1" x14ac:dyDescent="0.3">
      <c r="K177" s="2"/>
      <c r="M177"/>
      <c r="N177"/>
    </row>
    <row r="178" spans="5:14" ht="15" customHeight="1" x14ac:dyDescent="0.3">
      <c r="K178" s="2"/>
      <c r="M178"/>
      <c r="N178"/>
    </row>
    <row r="179" spans="5:14" ht="15" customHeight="1" x14ac:dyDescent="0.3">
      <c r="E179"/>
      <c r="F179"/>
      <c r="G179"/>
      <c r="H179"/>
      <c r="I179"/>
      <c r="J179"/>
      <c r="K179"/>
      <c r="L179"/>
      <c r="M179"/>
      <c r="N179"/>
    </row>
    <row r="180" spans="5:14" ht="15" customHeight="1" x14ac:dyDescent="0.3">
      <c r="E180"/>
      <c r="F180"/>
      <c r="G180"/>
      <c r="H180"/>
      <c r="I180"/>
      <c r="J180"/>
      <c r="K180"/>
      <c r="L180"/>
      <c r="M180"/>
      <c r="N180"/>
    </row>
    <row r="181" spans="5:14" ht="15" customHeight="1" x14ac:dyDescent="0.3">
      <c r="E181"/>
      <c r="F181"/>
      <c r="G181"/>
      <c r="H181"/>
      <c r="I181"/>
      <c r="J181"/>
      <c r="K181"/>
      <c r="L181"/>
      <c r="M181"/>
      <c r="N181"/>
    </row>
    <row r="182" spans="5:14" ht="15" customHeight="1" x14ac:dyDescent="0.3">
      <c r="E182"/>
      <c r="F182"/>
      <c r="G182"/>
      <c r="H182"/>
      <c r="I182"/>
      <c r="J182"/>
      <c r="K182"/>
      <c r="L182"/>
      <c r="M182"/>
      <c r="N182"/>
    </row>
    <row r="183" spans="5:14" ht="15" customHeight="1" x14ac:dyDescent="0.3">
      <c r="E183"/>
      <c r="F183"/>
      <c r="G183"/>
      <c r="H183"/>
      <c r="I183"/>
      <c r="J183"/>
      <c r="K183"/>
      <c r="L183"/>
      <c r="M183"/>
      <c r="N183"/>
    </row>
    <row r="184" spans="5:14" ht="15" customHeight="1" x14ac:dyDescent="0.3">
      <c r="E184"/>
      <c r="F184"/>
      <c r="G184"/>
      <c r="H184"/>
      <c r="I184"/>
      <c r="J184"/>
      <c r="K184"/>
      <c r="L184"/>
      <c r="M184"/>
      <c r="N184"/>
    </row>
    <row r="185" spans="5:14" ht="15" customHeight="1" x14ac:dyDescent="0.3">
      <c r="E185"/>
      <c r="F185"/>
      <c r="G185"/>
      <c r="H185"/>
      <c r="I185"/>
      <c r="J185"/>
      <c r="K185"/>
      <c r="L185"/>
      <c r="M185"/>
      <c r="N185"/>
    </row>
    <row r="186" spans="5:14" ht="15" customHeight="1" x14ac:dyDescent="0.3">
      <c r="E186"/>
      <c r="F186"/>
      <c r="G186"/>
      <c r="H186"/>
      <c r="I186"/>
      <c r="J186"/>
      <c r="K186"/>
      <c r="L186"/>
      <c r="M186"/>
      <c r="N186"/>
    </row>
    <row r="187" spans="5:14" ht="15" customHeight="1" x14ac:dyDescent="0.3">
      <c r="E187"/>
      <c r="F187"/>
      <c r="G187"/>
      <c r="H187"/>
      <c r="I187"/>
      <c r="J187"/>
      <c r="K187"/>
      <c r="L187"/>
      <c r="M187"/>
      <c r="N187"/>
    </row>
    <row r="188" spans="5:14" ht="15" customHeight="1" x14ac:dyDescent="0.3">
      <c r="E188"/>
      <c r="F188"/>
      <c r="G188"/>
      <c r="H188"/>
      <c r="I188"/>
      <c r="J188"/>
      <c r="K188"/>
      <c r="L188"/>
      <c r="M188"/>
      <c r="N188"/>
    </row>
    <row r="189" spans="5:14" ht="15" customHeight="1" x14ac:dyDescent="0.3">
      <c r="E189"/>
      <c r="F189"/>
      <c r="G189"/>
      <c r="H189"/>
      <c r="I189"/>
      <c r="J189"/>
      <c r="K189"/>
      <c r="L189"/>
      <c r="M189"/>
      <c r="N189"/>
    </row>
    <row r="190" spans="5:14" ht="15" customHeight="1" x14ac:dyDescent="0.3">
      <c r="E190"/>
      <c r="F190"/>
      <c r="G190"/>
      <c r="H190"/>
      <c r="I190"/>
      <c r="J190"/>
      <c r="K190"/>
      <c r="L190"/>
      <c r="M190"/>
      <c r="N190"/>
    </row>
    <row r="191" spans="5:14" ht="15" customHeight="1" x14ac:dyDescent="0.3">
      <c r="E191"/>
      <c r="F191"/>
      <c r="G191"/>
      <c r="H191"/>
      <c r="I191"/>
      <c r="J191"/>
      <c r="K191"/>
      <c r="L191"/>
      <c r="M191"/>
      <c r="N191"/>
    </row>
    <row r="192" spans="5:14" ht="15" customHeight="1" x14ac:dyDescent="0.3">
      <c r="E192"/>
      <c r="F192"/>
      <c r="G192"/>
      <c r="H192"/>
      <c r="I192"/>
      <c r="J192"/>
      <c r="K192"/>
      <c r="L192"/>
      <c r="M192"/>
      <c r="N192"/>
    </row>
    <row r="193" spans="5:14" ht="15" customHeight="1" x14ac:dyDescent="0.3">
      <c r="E193"/>
      <c r="F193"/>
      <c r="G193"/>
      <c r="H193"/>
      <c r="I193"/>
      <c r="J193"/>
      <c r="K193"/>
      <c r="L193"/>
      <c r="M193"/>
      <c r="N193"/>
    </row>
    <row r="194" spans="5:14" ht="15" customHeight="1" x14ac:dyDescent="0.3">
      <c r="E194"/>
      <c r="F194"/>
      <c r="G194"/>
      <c r="H194"/>
      <c r="I194"/>
      <c r="J194"/>
      <c r="K194"/>
      <c r="L194"/>
      <c r="M194"/>
      <c r="N194"/>
    </row>
    <row r="195" spans="5:14" ht="15" customHeight="1" x14ac:dyDescent="0.3">
      <c r="E195"/>
      <c r="F195"/>
      <c r="G195"/>
      <c r="H195"/>
      <c r="I195"/>
      <c r="J195"/>
      <c r="K195"/>
      <c r="L195"/>
      <c r="M195"/>
      <c r="N195"/>
    </row>
    <row r="196" spans="5:14" ht="15" customHeight="1" x14ac:dyDescent="0.3">
      <c r="E196"/>
      <c r="F196"/>
      <c r="G196"/>
      <c r="H196"/>
      <c r="I196"/>
      <c r="J196"/>
      <c r="K196"/>
      <c r="L196"/>
      <c r="M196"/>
      <c r="N196"/>
    </row>
    <row r="197" spans="5:14" ht="15" customHeight="1" x14ac:dyDescent="0.3">
      <c r="E197"/>
      <c r="F197"/>
      <c r="G197"/>
      <c r="H197"/>
      <c r="I197"/>
      <c r="J197"/>
      <c r="K197"/>
      <c r="L197"/>
      <c r="M197"/>
      <c r="N197"/>
    </row>
    <row r="198" spans="5:14" ht="15" customHeight="1" x14ac:dyDescent="0.3">
      <c r="E198"/>
      <c r="F198"/>
      <c r="G198"/>
      <c r="H198"/>
      <c r="I198"/>
      <c r="J198"/>
      <c r="K198"/>
      <c r="L198"/>
      <c r="M198"/>
      <c r="N198"/>
    </row>
    <row r="199" spans="5:14" ht="15" customHeight="1" x14ac:dyDescent="0.3">
      <c r="E199"/>
      <c r="F199"/>
      <c r="G199"/>
      <c r="H199"/>
      <c r="I199"/>
      <c r="J199"/>
      <c r="K199"/>
      <c r="L199"/>
      <c r="M199"/>
      <c r="N199"/>
    </row>
    <row r="200" spans="5:14" ht="15" customHeight="1" x14ac:dyDescent="0.3">
      <c r="E200"/>
      <c r="F200"/>
      <c r="G200"/>
      <c r="H200"/>
      <c r="I200"/>
      <c r="J200"/>
      <c r="K200"/>
      <c r="L200"/>
      <c r="M200"/>
      <c r="N200"/>
    </row>
    <row r="201" spans="5:14" ht="15" customHeight="1" x14ac:dyDescent="0.3">
      <c r="E201"/>
      <c r="F201"/>
      <c r="G201"/>
      <c r="H201"/>
      <c r="I201"/>
      <c r="J201"/>
      <c r="K201"/>
      <c r="L201"/>
      <c r="M201"/>
      <c r="N201"/>
    </row>
    <row r="202" spans="5:14" ht="15" customHeight="1" x14ac:dyDescent="0.3">
      <c r="E202"/>
      <c r="F202"/>
      <c r="G202"/>
      <c r="H202"/>
      <c r="I202"/>
      <c r="J202"/>
      <c r="K202"/>
      <c r="L202"/>
      <c r="M202"/>
      <c r="N202"/>
    </row>
    <row r="203" spans="5:14" ht="15" customHeight="1" x14ac:dyDescent="0.3">
      <c r="E203"/>
      <c r="F203"/>
      <c r="G203"/>
      <c r="H203"/>
      <c r="I203"/>
      <c r="J203"/>
      <c r="K203"/>
      <c r="L203"/>
      <c r="M203"/>
      <c r="N203"/>
    </row>
    <row r="204" spans="5:14" ht="15" customHeight="1" x14ac:dyDescent="0.3">
      <c r="E204"/>
      <c r="F204"/>
      <c r="G204"/>
      <c r="H204"/>
      <c r="I204"/>
      <c r="J204"/>
      <c r="K204"/>
      <c r="L204"/>
      <c r="M204"/>
      <c r="N204"/>
    </row>
    <row r="205" spans="5:14" ht="15" customHeight="1" x14ac:dyDescent="0.3">
      <c r="E205"/>
      <c r="F205"/>
      <c r="G205"/>
      <c r="H205"/>
      <c r="I205"/>
      <c r="J205"/>
      <c r="K205"/>
      <c r="L205"/>
      <c r="M205"/>
      <c r="N205"/>
    </row>
    <row r="206" spans="5:14" ht="15" customHeight="1" x14ac:dyDescent="0.3">
      <c r="E206"/>
      <c r="F206"/>
      <c r="G206"/>
      <c r="H206"/>
      <c r="I206"/>
      <c r="J206"/>
      <c r="K206"/>
      <c r="L206"/>
      <c r="M206"/>
      <c r="N206"/>
    </row>
    <row r="207" spans="5:14" ht="15" customHeight="1" x14ac:dyDescent="0.3">
      <c r="E207"/>
      <c r="F207"/>
      <c r="G207"/>
      <c r="H207"/>
      <c r="I207"/>
      <c r="J207"/>
      <c r="K207"/>
      <c r="L207"/>
      <c r="M207"/>
      <c r="N207"/>
    </row>
    <row r="208" spans="5:14" ht="15" customHeight="1" x14ac:dyDescent="0.3">
      <c r="E208"/>
      <c r="F208"/>
      <c r="G208"/>
      <c r="H208"/>
      <c r="I208"/>
      <c r="J208"/>
      <c r="K208"/>
      <c r="L208"/>
      <c r="M208"/>
      <c r="N208"/>
    </row>
    <row r="209" spans="5:14" ht="15" customHeight="1" x14ac:dyDescent="0.3">
      <c r="E209"/>
      <c r="F209"/>
      <c r="G209"/>
      <c r="H209"/>
      <c r="I209"/>
      <c r="J209"/>
      <c r="K209"/>
      <c r="L209"/>
      <c r="M209"/>
      <c r="N209"/>
    </row>
    <row r="210" spans="5:14" ht="15" customHeight="1" x14ac:dyDescent="0.3">
      <c r="E210"/>
      <c r="F210"/>
      <c r="G210"/>
      <c r="H210"/>
      <c r="I210"/>
      <c r="J210"/>
      <c r="K210"/>
      <c r="L210"/>
      <c r="M210"/>
      <c r="N210"/>
    </row>
    <row r="211" spans="5:14" ht="15" customHeight="1" x14ac:dyDescent="0.3">
      <c r="E211"/>
      <c r="F211"/>
      <c r="G211"/>
      <c r="H211"/>
      <c r="I211"/>
      <c r="J211"/>
      <c r="K211"/>
      <c r="L211"/>
      <c r="M211"/>
      <c r="N211"/>
    </row>
    <row r="212" spans="5:14" ht="15" customHeight="1" x14ac:dyDescent="0.3">
      <c r="E212"/>
      <c r="F212"/>
      <c r="G212"/>
      <c r="H212"/>
      <c r="I212"/>
      <c r="J212"/>
      <c r="K212"/>
      <c r="L212"/>
      <c r="M212"/>
      <c r="N212"/>
    </row>
    <row r="213" spans="5:14" ht="15" customHeight="1" x14ac:dyDescent="0.3">
      <c r="E213"/>
      <c r="F213"/>
      <c r="G213"/>
      <c r="H213"/>
      <c r="I213"/>
      <c r="J213"/>
      <c r="K213"/>
      <c r="L213"/>
      <c r="M213"/>
      <c r="N213"/>
    </row>
    <row r="214" spans="5:14" ht="15" customHeight="1" x14ac:dyDescent="0.3">
      <c r="E214"/>
      <c r="F214"/>
      <c r="G214"/>
      <c r="H214"/>
      <c r="I214"/>
      <c r="J214"/>
      <c r="K214"/>
      <c r="L214"/>
      <c r="M214"/>
      <c r="N214"/>
    </row>
    <row r="215" spans="5:14" ht="15" customHeight="1" x14ac:dyDescent="0.3"/>
    <row r="216" spans="5:14" ht="15" customHeight="1" x14ac:dyDescent="0.3"/>
    <row r="217" spans="5:14" ht="15" customHeight="1" x14ac:dyDescent="0.3"/>
    <row r="218" spans="5:14" ht="15" customHeight="1" x14ac:dyDescent="0.3"/>
    <row r="219" spans="5:14" ht="15" customHeight="1" x14ac:dyDescent="0.3"/>
    <row r="220" spans="5:14" ht="15" customHeight="1" x14ac:dyDescent="0.3"/>
    <row r="221" spans="5:14" ht="15" customHeight="1" x14ac:dyDescent="0.3"/>
    <row r="222" spans="5:14" ht="15" customHeight="1" x14ac:dyDescent="0.3"/>
    <row r="223" spans="5:14" ht="15" customHeight="1" x14ac:dyDescent="0.3"/>
    <row r="224" spans="5:14" ht="15" customHeight="1" x14ac:dyDescent="0.3"/>
    <row r="225" ht="15" customHeight="1" x14ac:dyDescent="0.3"/>
    <row r="226" ht="15" customHeight="1" x14ac:dyDescent="0.3"/>
    <row r="227" ht="15" customHeight="1" x14ac:dyDescent="0.3"/>
    <row r="228" ht="15" customHeight="1" x14ac:dyDescent="0.3"/>
    <row r="229" ht="15" customHeight="1" x14ac:dyDescent="0.3"/>
    <row r="230" ht="15" customHeight="1" x14ac:dyDescent="0.3"/>
    <row r="231" ht="15" customHeight="1" x14ac:dyDescent="0.3"/>
    <row r="232" ht="15" customHeight="1" x14ac:dyDescent="0.3"/>
    <row r="233" ht="15" customHeight="1" x14ac:dyDescent="0.3"/>
    <row r="234" ht="15" customHeight="1" x14ac:dyDescent="0.3"/>
    <row r="235" ht="15" customHeight="1" x14ac:dyDescent="0.3"/>
    <row r="236" ht="15" customHeight="1" x14ac:dyDescent="0.3"/>
    <row r="237" ht="15" customHeight="1" x14ac:dyDescent="0.3"/>
    <row r="238" ht="15" customHeight="1" x14ac:dyDescent="0.3"/>
    <row r="239" ht="15" customHeight="1" x14ac:dyDescent="0.3"/>
    <row r="240" ht="15" customHeight="1" x14ac:dyDescent="0.3"/>
    <row r="241" ht="15" customHeight="1" x14ac:dyDescent="0.3"/>
    <row r="242" ht="15" customHeight="1" x14ac:dyDescent="0.3"/>
    <row r="243" ht="15" customHeight="1" x14ac:dyDescent="0.3"/>
    <row r="244" ht="15" customHeight="1" x14ac:dyDescent="0.3"/>
    <row r="245" ht="15" customHeight="1" x14ac:dyDescent="0.3"/>
    <row r="246" ht="15" customHeight="1" x14ac:dyDescent="0.3"/>
    <row r="247" ht="15" customHeight="1" x14ac:dyDescent="0.3"/>
    <row r="248" ht="15" customHeight="1" x14ac:dyDescent="0.3"/>
    <row r="249" ht="15" customHeight="1" x14ac:dyDescent="0.3"/>
    <row r="250" ht="15" customHeight="1" x14ac:dyDescent="0.3"/>
    <row r="251" ht="15" customHeight="1" x14ac:dyDescent="0.3"/>
  </sheetData>
  <mergeCells count="1">
    <mergeCell ref="K3:L3"/>
  </mergeCells>
  <pageMargins left="0.7" right="0.7" top="0.75" bottom="0.75" header="0.3" footer="0.3"/>
  <pageSetup scale="65"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89BE-39DB-488F-A587-5D1159635D74}">
  <sheetPr>
    <tabColor theme="9" tint="0.59999389629810485"/>
    <pageSetUpPr autoPageBreaks="0"/>
  </sheetPr>
  <dimension ref="A1:Y203"/>
  <sheetViews>
    <sheetView showGridLines="0" topLeftCell="A10" zoomScale="85" zoomScaleNormal="85" workbookViewId="0">
      <selection activeCell="F53" sqref="F53"/>
    </sheetView>
  </sheetViews>
  <sheetFormatPr defaultRowHeight="14.4" x14ac:dyDescent="0.3"/>
  <cols>
    <col min="1" max="1" width="30.33203125" bestFit="1" customWidth="1"/>
    <col min="2" max="2" width="3.33203125" customWidth="1"/>
    <col min="3" max="3" width="17.6640625" bestFit="1" customWidth="1"/>
    <col min="4" max="4" width="3.33203125" customWidth="1"/>
    <col min="5" max="5" width="16" bestFit="1" customWidth="1"/>
    <col min="6" max="14" width="14.88671875" bestFit="1" customWidth="1"/>
    <col min="15" max="15" width="16.5546875" bestFit="1" customWidth="1"/>
    <col min="16" max="16" width="14.88671875" bestFit="1" customWidth="1"/>
    <col min="17" max="17" width="13.6640625" bestFit="1" customWidth="1"/>
  </cols>
  <sheetData>
    <row r="1" spans="1:16" ht="19.8" x14ac:dyDescent="0.4">
      <c r="A1" s="90" t="str">
        <f>'Building Analysis'!B3</f>
        <v>The Empire State Building</v>
      </c>
    </row>
    <row r="2" spans="1:16" ht="19.8" x14ac:dyDescent="0.4">
      <c r="A2" s="91">
        <f>'Building Analysis'!B4</f>
        <v>2808567</v>
      </c>
    </row>
    <row r="3" spans="1:16" x14ac:dyDescent="0.3">
      <c r="A3" s="248"/>
      <c r="B3" s="248"/>
      <c r="C3" s="248"/>
      <c r="D3" s="248"/>
      <c r="E3" s="248">
        <v>0</v>
      </c>
      <c r="F3" s="249">
        <v>1</v>
      </c>
      <c r="G3" s="249">
        <f>F3+1</f>
        <v>2</v>
      </c>
      <c r="H3" s="249">
        <f t="shared" ref="H3:P3" si="0">G3+1</f>
        <v>3</v>
      </c>
      <c r="I3" s="249">
        <f t="shared" si="0"/>
        <v>4</v>
      </c>
      <c r="J3" s="249">
        <f t="shared" si="0"/>
        <v>5</v>
      </c>
      <c r="K3" s="249">
        <f t="shared" si="0"/>
        <v>6</v>
      </c>
      <c r="L3" s="249">
        <f t="shared" si="0"/>
        <v>7</v>
      </c>
      <c r="M3" s="249">
        <f t="shared" si="0"/>
        <v>8</v>
      </c>
      <c r="N3" s="249">
        <f t="shared" si="0"/>
        <v>9</v>
      </c>
      <c r="O3" s="249">
        <f t="shared" si="0"/>
        <v>10</v>
      </c>
      <c r="P3" s="249">
        <f t="shared" si="0"/>
        <v>11</v>
      </c>
    </row>
    <row r="4" spans="1:16" x14ac:dyDescent="0.3">
      <c r="A4" s="250"/>
      <c r="B4" s="251"/>
      <c r="C4" s="252"/>
      <c r="D4" s="253"/>
      <c r="E4" s="253">
        <f>'Building Analysis'!$D$7</f>
        <v>45292</v>
      </c>
      <c r="F4" s="253">
        <f>EOMONTH(E4,11)</f>
        <v>45657</v>
      </c>
      <c r="G4" s="253">
        <f>EOMONTH(F4,12)</f>
        <v>46022</v>
      </c>
      <c r="H4" s="253">
        <f t="shared" ref="H4:P4" si="1">EOMONTH(G4,12)</f>
        <v>46387</v>
      </c>
      <c r="I4" s="253">
        <f t="shared" si="1"/>
        <v>46752</v>
      </c>
      <c r="J4" s="253">
        <f t="shared" si="1"/>
        <v>47118</v>
      </c>
      <c r="K4" s="253">
        <f t="shared" si="1"/>
        <v>47483</v>
      </c>
      <c r="L4" s="253">
        <f t="shared" si="1"/>
        <v>47848</v>
      </c>
      <c r="M4" s="253">
        <f t="shared" si="1"/>
        <v>48213</v>
      </c>
      <c r="N4" s="253">
        <f t="shared" si="1"/>
        <v>48579</v>
      </c>
      <c r="O4" s="253">
        <f t="shared" si="1"/>
        <v>48944</v>
      </c>
      <c r="P4" s="253">
        <f t="shared" si="1"/>
        <v>49309</v>
      </c>
    </row>
    <row r="5" spans="1:16" ht="5.25" customHeight="1" x14ac:dyDescent="0.3">
      <c r="A5" s="254"/>
      <c r="B5" s="255"/>
      <c r="C5" s="256"/>
      <c r="D5" s="254"/>
      <c r="E5" s="254"/>
      <c r="F5" s="254"/>
      <c r="G5" s="254"/>
      <c r="H5" s="254"/>
      <c r="I5" s="254"/>
      <c r="J5" s="254"/>
      <c r="K5" s="254"/>
      <c r="L5" s="254"/>
      <c r="M5" s="254"/>
      <c r="N5" s="254"/>
      <c r="O5" s="254"/>
      <c r="P5" s="254"/>
    </row>
    <row r="6" spans="1:16" s="197" customFormat="1" x14ac:dyDescent="0.3">
      <c r="A6" s="52" t="s">
        <v>194</v>
      </c>
      <c r="B6"/>
      <c r="C6" s="257"/>
      <c r="D6"/>
      <c r="F6" s="197">
        <f>SUMIFS(INDEX('Argus Cash Flow Drop'!$B$1:$Z$98,0,MATCH(Proforma!F$3,'Argus Cash Flow Drop'!$B$1:$Z$1,0)),'Argus Cash Flow Drop'!$B$1:$B$98,Proforma!$A6)</f>
        <v>0.88421604327046499</v>
      </c>
      <c r="G6" s="197">
        <f>SUMIFS(INDEX('Argus Cash Flow Drop'!$B$1:$Z$98,0,MATCH(Proforma!G$3,'Argus Cash Flow Drop'!$B$1:$Z$1,0)),'Argus Cash Flow Drop'!$B$1:$B$98,Proforma!$A6)</f>
        <v>0.91714992022622199</v>
      </c>
      <c r="H6" s="197">
        <f>SUMIFS(INDEX('Argus Cash Flow Drop'!$B$1:$Z$98,0,MATCH(Proforma!H$3,'Argus Cash Flow Drop'!$B$1:$Z$1,0)),'Argus Cash Flow Drop'!$B$1:$B$98,Proforma!$A6)</f>
        <v>0.97081073729058298</v>
      </c>
      <c r="I6" s="197">
        <f>SUMIFS(INDEX('Argus Cash Flow Drop'!$B$1:$Z$98,0,MATCH(Proforma!I$3,'Argus Cash Flow Drop'!$B$1:$Z$1,0)),'Argus Cash Flow Drop'!$B$1:$B$98,Proforma!$A6)</f>
        <v>0.975840971570199</v>
      </c>
      <c r="J6" s="197">
        <f>SUMIFS(INDEX('Argus Cash Flow Drop'!$B$1:$Z$98,0,MATCH(Proforma!J$3,'Argus Cash Flow Drop'!$B$1:$Z$1,0)),'Argus Cash Flow Drop'!$B$1:$B$98,Proforma!$A6)</f>
        <v>0.962031111714028</v>
      </c>
      <c r="K6" s="197">
        <f>SUMIFS(INDEX('Argus Cash Flow Drop'!$B$1:$Z$98,0,MATCH(Proforma!K$3,'Argus Cash Flow Drop'!$B$1:$Z$1,0)),'Argus Cash Flow Drop'!$B$1:$B$98,Proforma!$A6)</f>
        <v>0.90869332415190096</v>
      </c>
      <c r="L6" s="197">
        <f>SUMIFS(INDEX('Argus Cash Flow Drop'!$B$1:$Z$98,0,MATCH(Proforma!L$3,'Argus Cash Flow Drop'!$B$1:$Z$1,0)),'Argus Cash Flow Drop'!$B$1:$B$98,Proforma!$A6)</f>
        <v>0.991930048312894</v>
      </c>
      <c r="M6" s="197">
        <f>SUMIFS(INDEX('Argus Cash Flow Drop'!$B$1:$Z$98,0,MATCH(Proforma!M$3,'Argus Cash Flow Drop'!$B$1:$Z$1,0)),'Argus Cash Flow Drop'!$B$1:$B$98,Proforma!$A6)</f>
        <v>0.99292729471411301</v>
      </c>
      <c r="N6" s="197">
        <f>SUMIFS(INDEX('Argus Cash Flow Drop'!$B$1:$Z$98,0,MATCH(Proforma!N$3,'Argus Cash Flow Drop'!$B$1:$Z$1,0)),'Argus Cash Flow Drop'!$B$1:$B$98,Proforma!$A6)</f>
        <v>0.99241205568533697</v>
      </c>
      <c r="O6" s="197">
        <f>SUMIFS(INDEX('Argus Cash Flow Drop'!$B$1:$Z$98,0,MATCH(Proforma!O$3,'Argus Cash Flow Drop'!$B$1:$Z$1,0)),'Argus Cash Flow Drop'!$B$1:$B$98,Proforma!$A6)</f>
        <v>0.99609649689681601</v>
      </c>
      <c r="P6" s="197">
        <f>SUMIFS(INDEX('Argus Cash Flow Drop'!$B$1:$Z$98,0,MATCH(Proforma!P$3,'Argus Cash Flow Drop'!$B$1:$Z$1,0)),'Argus Cash Flow Drop'!$B$1:$B$98,Proforma!$A6)</f>
        <v>0.96345829266906102</v>
      </c>
    </row>
    <row r="7" spans="1:16" x14ac:dyDescent="0.3">
      <c r="A7" s="98" t="s">
        <v>191</v>
      </c>
      <c r="B7" s="254"/>
      <c r="C7" s="99"/>
      <c r="D7" s="254"/>
      <c r="E7" s="254"/>
      <c r="F7" s="258">
        <f>SUMIFS(INDEX('Argus Cash Flow Drop'!$B$1:$Z$98,0,MATCH(Proforma!F$3,'Argus Cash Flow Drop'!$B$1:$Z$1,0)),'Argus Cash Flow Drop'!$B$1:$B$98,Proforma!$A7)</f>
        <v>325187</v>
      </c>
      <c r="G7" s="258">
        <f>SUMIFS(INDEX('Argus Cash Flow Drop'!$B$1:$Z$98,0,MATCH(Proforma!G$3,'Argus Cash Flow Drop'!$B$1:$Z$1,0)),'Argus Cash Flow Drop'!$B$1:$B$98,Proforma!$A7)</f>
        <v>232690</v>
      </c>
      <c r="H7" s="258">
        <f>SUMIFS(INDEX('Argus Cash Flow Drop'!$B$1:$Z$98,0,MATCH(Proforma!H$3,'Argus Cash Flow Drop'!$B$1:$Z$1,0)),'Argus Cash Flow Drop'!$B$1:$B$98,Proforma!$A7)</f>
        <v>81980</v>
      </c>
      <c r="I7" s="258">
        <f>SUMIFS(INDEX('Argus Cash Flow Drop'!$B$1:$Z$98,0,MATCH(Proforma!I$3,'Argus Cash Flow Drop'!$B$1:$Z$1,0)),'Argus Cash Flow Drop'!$B$1:$B$98,Proforma!$A7)</f>
        <v>67852</v>
      </c>
      <c r="J7" s="258">
        <f>SUMIFS(INDEX('Argus Cash Flow Drop'!$B$1:$Z$98,0,MATCH(Proforma!J$3,'Argus Cash Flow Drop'!$B$1:$Z$1,0)),'Argus Cash Flow Drop'!$B$1:$B$98,Proforma!$A7)</f>
        <v>106638</v>
      </c>
      <c r="K7" s="258">
        <f>SUMIFS(INDEX('Argus Cash Flow Drop'!$B$1:$Z$98,0,MATCH(Proforma!K$3,'Argus Cash Flow Drop'!$B$1:$Z$1,0)),'Argus Cash Flow Drop'!$B$1:$B$98,Proforma!$A7)</f>
        <v>256441</v>
      </c>
      <c r="L7" s="258">
        <f>SUMIFS(INDEX('Argus Cash Flow Drop'!$B$1:$Z$98,0,MATCH(Proforma!L$3,'Argus Cash Flow Drop'!$B$1:$Z$1,0)),'Argus Cash Flow Drop'!$B$1:$B$98,Proforma!$A7)</f>
        <v>22665</v>
      </c>
      <c r="M7" s="258">
        <f>SUMIFS(INDEX('Argus Cash Flow Drop'!$B$1:$Z$98,0,MATCH(Proforma!M$3,'Argus Cash Flow Drop'!$B$1:$Z$1,0)),'Argus Cash Flow Drop'!$B$1:$B$98,Proforma!$A7)</f>
        <v>19864</v>
      </c>
      <c r="N7" s="258">
        <f>SUMIFS(INDEX('Argus Cash Flow Drop'!$B$1:$Z$98,0,MATCH(Proforma!N$3,'Argus Cash Flow Drop'!$B$1:$Z$1,0)),'Argus Cash Flow Drop'!$B$1:$B$98,Proforma!$A7)</f>
        <v>21311</v>
      </c>
      <c r="O7" s="258">
        <f>SUMIFS(INDEX('Argus Cash Flow Drop'!$B$1:$Z$98,0,MATCH(Proforma!O$3,'Argus Cash Flow Drop'!$B$1:$Z$1,0)),'Argus Cash Flow Drop'!$B$1:$B$98,Proforma!$A7)</f>
        <v>10963</v>
      </c>
      <c r="P7" s="258">
        <f>SUMIFS(INDEX('Argus Cash Flow Drop'!$B$1:$Z$98,0,MATCH(Proforma!P$3,'Argus Cash Flow Drop'!$B$1:$Z$1,0)),'Argus Cash Flow Drop'!$B$1:$B$98,Proforma!$A7)</f>
        <v>102630</v>
      </c>
    </row>
    <row r="8" spans="1:16" ht="5.25" customHeight="1" x14ac:dyDescent="0.3">
      <c r="A8" s="179"/>
      <c r="C8" s="96"/>
      <c r="E8" s="259"/>
      <c r="F8" s="197"/>
      <c r="G8" s="197"/>
      <c r="H8" s="197"/>
      <c r="I8" s="197"/>
      <c r="J8" s="197"/>
      <c r="K8" s="197"/>
      <c r="L8" s="197"/>
      <c r="M8" s="197"/>
      <c r="N8" s="197"/>
      <c r="O8" s="197"/>
      <c r="P8" s="197"/>
    </row>
    <row r="9" spans="1:16" x14ac:dyDescent="0.3">
      <c r="A9" s="37" t="s">
        <v>135</v>
      </c>
      <c r="C9" s="97" t="s">
        <v>212</v>
      </c>
    </row>
    <row r="10" spans="1:16" x14ac:dyDescent="0.3">
      <c r="A10" t="s">
        <v>104</v>
      </c>
      <c r="C10" s="260">
        <f>F10/$A$2/12</f>
        <v>5.7185231531477321</v>
      </c>
      <c r="E10" s="261">
        <v>0</v>
      </c>
      <c r="F10" s="262">
        <f>SUMIFS(INDEX('Argus Cash Flow Drop'!$B$1:$Z$98,0,MATCH(Proforma!F$3,'Argus Cash Flow Drop'!$B$1:$Z$1,0)),'Argus Cash Flow Drop'!$B$1:$B$98,Proforma!$A10)</f>
        <v>192730265</v>
      </c>
      <c r="G10" s="262">
        <f>SUMIFS(INDEX('Argus Cash Flow Drop'!$B$1:$Z$98,0,MATCH(Proforma!G$3,'Argus Cash Flow Drop'!$B$1:$Z$1,0)),'Argus Cash Flow Drop'!$B$1:$B$98,Proforma!$A10)</f>
        <v>196665836</v>
      </c>
      <c r="H10" s="262">
        <f>SUMIFS(INDEX('Argus Cash Flow Drop'!$B$1:$Z$98,0,MATCH(Proforma!H$3,'Argus Cash Flow Drop'!$B$1:$Z$1,0)),'Argus Cash Flow Drop'!$B$1:$B$98,Proforma!$A10)</f>
        <v>201172086</v>
      </c>
      <c r="I10" s="262">
        <f>SUMIFS(INDEX('Argus Cash Flow Drop'!$B$1:$Z$98,0,MATCH(Proforma!I$3,'Argus Cash Flow Drop'!$B$1:$Z$1,0)),'Argus Cash Flow Drop'!$B$1:$B$98,Proforma!$A10)</f>
        <v>203672189</v>
      </c>
      <c r="J10" s="262">
        <f>SUMIFS(INDEX('Argus Cash Flow Drop'!$B$1:$Z$98,0,MATCH(Proforma!J$3,'Argus Cash Flow Drop'!$B$1:$Z$1,0)),'Argus Cash Flow Drop'!$B$1:$B$98,Proforma!$A10)</f>
        <v>201866506</v>
      </c>
      <c r="K10" s="262">
        <f>SUMIFS(INDEX('Argus Cash Flow Drop'!$B$1:$Z$98,0,MATCH(Proforma!K$3,'Argus Cash Flow Drop'!$B$1:$Z$1,0)),'Argus Cash Flow Drop'!$B$1:$B$98,Proforma!$A10)</f>
        <v>189739704</v>
      </c>
      <c r="L10" s="262">
        <f>SUMIFS(INDEX('Argus Cash Flow Drop'!$B$1:$Z$98,0,MATCH(Proforma!L$3,'Argus Cash Flow Drop'!$B$1:$Z$1,0)),'Argus Cash Flow Drop'!$B$1:$B$98,Proforma!$A10)</f>
        <v>188872887</v>
      </c>
      <c r="M10" s="262">
        <f>SUMIFS(INDEX('Argus Cash Flow Drop'!$B$1:$Z$98,0,MATCH(Proforma!M$3,'Argus Cash Flow Drop'!$B$1:$Z$1,0)),'Argus Cash Flow Drop'!$B$1:$B$98,Proforma!$A10)</f>
        <v>191192600</v>
      </c>
      <c r="N10" s="262">
        <f>SUMIFS(INDEX('Argus Cash Flow Drop'!$B$1:$Z$98,0,MATCH(Proforma!N$3,'Argus Cash Flow Drop'!$B$1:$Z$1,0)),'Argus Cash Flow Drop'!$B$1:$B$98,Proforma!$A10)</f>
        <v>191761766</v>
      </c>
      <c r="O10" s="262">
        <f>SUMIFS(INDEX('Argus Cash Flow Drop'!$B$1:$Z$98,0,MATCH(Proforma!O$3,'Argus Cash Flow Drop'!$B$1:$Z$1,0)),'Argus Cash Flow Drop'!$B$1:$B$98,Proforma!$A10)</f>
        <v>194585931</v>
      </c>
      <c r="P10" s="262">
        <f>SUMIFS(INDEX('Argus Cash Flow Drop'!$B$1:$Z$98,0,MATCH(Proforma!P$3,'Argus Cash Flow Drop'!$B$1:$Z$1,0)),'Argus Cash Flow Drop'!$B$1:$B$98,Proforma!$A10)</f>
        <v>197724472</v>
      </c>
    </row>
    <row r="11" spans="1:16" x14ac:dyDescent="0.3">
      <c r="A11" t="s">
        <v>105</v>
      </c>
      <c r="C11" s="260">
        <f t="shared" ref="C11:C12" si="2">F11/$A$2/12</f>
        <v>-0.59065035063551385</v>
      </c>
      <c r="E11" s="263">
        <v>0</v>
      </c>
      <c r="F11" s="262">
        <f>SUMIFS(INDEX('Argus Cash Flow Drop'!$B$1:$Z$98,0,MATCH(Proforma!F$3,'Argus Cash Flow Drop'!$B$1:$Z$1,0)),'Argus Cash Flow Drop'!$B$1:$B$98,Proforma!$A11)</f>
        <v>-19906573</v>
      </c>
      <c r="G11" s="262">
        <f>SUMIFS(INDEX('Argus Cash Flow Drop'!$B$1:$Z$98,0,MATCH(Proforma!G$3,'Argus Cash Flow Drop'!$B$1:$Z$1,0)),'Argus Cash Flow Drop'!$B$1:$B$98,Proforma!$A11)</f>
        <v>-14667121</v>
      </c>
      <c r="H11" s="262">
        <f>SUMIFS(INDEX('Argus Cash Flow Drop'!$B$1:$Z$98,0,MATCH(Proforma!H$3,'Argus Cash Flow Drop'!$B$1:$Z$1,0)),'Argus Cash Flow Drop'!$B$1:$B$98,Proforma!$A11)</f>
        <v>-5159640</v>
      </c>
      <c r="I11" s="262">
        <f>SUMIFS(INDEX('Argus Cash Flow Drop'!$B$1:$Z$98,0,MATCH(Proforma!I$3,'Argus Cash Flow Drop'!$B$1:$Z$1,0)),'Argus Cash Flow Drop'!$B$1:$B$98,Proforma!$A11)</f>
        <v>-4447950</v>
      </c>
      <c r="J11" s="262">
        <f>SUMIFS(INDEX('Argus Cash Flow Drop'!$B$1:$Z$98,0,MATCH(Proforma!J$3,'Argus Cash Flow Drop'!$B$1:$Z$1,0)),'Argus Cash Flow Drop'!$B$1:$B$98,Proforma!$A11)</f>
        <v>-7092471</v>
      </c>
      <c r="K11" s="262">
        <f>SUMIFS(INDEX('Argus Cash Flow Drop'!$B$1:$Z$98,0,MATCH(Proforma!K$3,'Argus Cash Flow Drop'!$B$1:$Z$1,0)),'Argus Cash Flow Drop'!$B$1:$B$98,Proforma!$A11)</f>
        <v>-17970691</v>
      </c>
      <c r="L11" s="262">
        <f>SUMIFS(INDEX('Argus Cash Flow Drop'!$B$1:$Z$98,0,MATCH(Proforma!L$3,'Argus Cash Flow Drop'!$B$1:$Z$1,0)),'Argus Cash Flow Drop'!$B$1:$B$98,Proforma!$A11)</f>
        <v>-1492850</v>
      </c>
      <c r="M11" s="262">
        <f>SUMIFS(INDEX('Argus Cash Flow Drop'!$B$1:$Z$98,0,MATCH(Proforma!M$3,'Argus Cash Flow Drop'!$B$1:$Z$1,0)),'Argus Cash Flow Drop'!$B$1:$B$98,Proforma!$A11)</f>
        <v>-1401642</v>
      </c>
      <c r="N11" s="262">
        <f>SUMIFS(INDEX('Argus Cash Flow Drop'!$B$1:$Z$98,0,MATCH(Proforma!N$3,'Argus Cash Flow Drop'!$B$1:$Z$1,0)),'Argus Cash Flow Drop'!$B$1:$B$98,Proforma!$A11)</f>
        <v>-1555210</v>
      </c>
      <c r="O11" s="262">
        <f>SUMIFS(INDEX('Argus Cash Flow Drop'!$B$1:$Z$98,0,MATCH(Proforma!O$3,'Argus Cash Flow Drop'!$B$1:$Z$1,0)),'Argus Cash Flow Drop'!$B$1:$B$98,Proforma!$A11)</f>
        <v>-636553</v>
      </c>
      <c r="P11" s="262">
        <f>SUMIFS(INDEX('Argus Cash Flow Drop'!$B$1:$Z$98,0,MATCH(Proforma!P$3,'Argus Cash Flow Drop'!$B$1:$Z$1,0)),'Argus Cash Flow Drop'!$B$1:$B$98,Proforma!$A11)</f>
        <v>-7352362</v>
      </c>
    </row>
    <row r="12" spans="1:16" x14ac:dyDescent="0.3">
      <c r="A12" t="s">
        <v>106</v>
      </c>
      <c r="C12" s="264">
        <f t="shared" si="2"/>
        <v>-0.17943406133210757</v>
      </c>
      <c r="E12" s="265">
        <v>0</v>
      </c>
      <c r="F12" s="266">
        <f>SUMIFS(INDEX('Argus Cash Flow Drop'!$B$1:$Z$98,0,MATCH(Proforma!F$3,'Argus Cash Flow Drop'!$B$1:$Z$1,0)),'Argus Cash Flow Drop'!$B$1:$B$98,Proforma!$A12)</f>
        <v>-6047431</v>
      </c>
      <c r="G12" s="266">
        <f>SUMIFS(INDEX('Argus Cash Flow Drop'!$B$1:$Z$98,0,MATCH(Proforma!G$3,'Argus Cash Flow Drop'!$B$1:$Z$1,0)),'Argus Cash Flow Drop'!$B$1:$B$98,Proforma!$A12)</f>
        <v>-5519907</v>
      </c>
      <c r="H12" s="266">
        <f>SUMIFS(INDEX('Argus Cash Flow Drop'!$B$1:$Z$98,0,MATCH(Proforma!H$3,'Argus Cash Flow Drop'!$B$1:$Z$1,0)),'Argus Cash Flow Drop'!$B$1:$B$98,Proforma!$A12)</f>
        <v>-4347120</v>
      </c>
      <c r="I12" s="266">
        <f>SUMIFS(INDEX('Argus Cash Flow Drop'!$B$1:$Z$98,0,MATCH(Proforma!I$3,'Argus Cash Flow Drop'!$B$1:$Z$1,0)),'Argus Cash Flow Drop'!$B$1:$B$98,Proforma!$A12)</f>
        <v>-2773989</v>
      </c>
      <c r="J12" s="266">
        <f>SUMIFS(INDEX('Argus Cash Flow Drop'!$B$1:$Z$98,0,MATCH(Proforma!J$3,'Argus Cash Flow Drop'!$B$1:$Z$1,0)),'Argus Cash Flow Drop'!$B$1:$B$98,Proforma!$A12)</f>
        <v>-2060532</v>
      </c>
      <c r="K12" s="266">
        <f>SUMIFS(INDEX('Argus Cash Flow Drop'!$B$1:$Z$98,0,MATCH(Proforma!K$3,'Argus Cash Flow Drop'!$B$1:$Z$1,0)),'Argus Cash Flow Drop'!$B$1:$B$98,Proforma!$A12)</f>
        <v>-9599230</v>
      </c>
      <c r="L12" s="266">
        <f>SUMIFS(INDEX('Argus Cash Flow Drop'!$B$1:$Z$98,0,MATCH(Proforma!L$3,'Argus Cash Flow Drop'!$B$1:$Z$1,0)),'Argus Cash Flow Drop'!$B$1:$B$98,Proforma!$A12)</f>
        <v>-859887</v>
      </c>
      <c r="M12" s="266">
        <f>SUMIFS(INDEX('Argus Cash Flow Drop'!$B$1:$Z$98,0,MATCH(Proforma!M$3,'Argus Cash Flow Drop'!$B$1:$Z$1,0)),'Argus Cash Flow Drop'!$B$1:$B$98,Proforma!$A12)</f>
        <v>-928928</v>
      </c>
      <c r="N12" s="266">
        <f>SUMIFS(INDEX('Argus Cash Flow Drop'!$B$1:$Z$98,0,MATCH(Proforma!N$3,'Argus Cash Flow Drop'!$B$1:$Z$1,0)),'Argus Cash Flow Drop'!$B$1:$B$98,Proforma!$A12)</f>
        <v>-897880</v>
      </c>
      <c r="O12" s="266">
        <f>SUMIFS(INDEX('Argus Cash Flow Drop'!$B$1:$Z$98,0,MATCH(Proforma!O$3,'Argus Cash Flow Drop'!$B$1:$Z$1,0)),'Argus Cash Flow Drop'!$B$1:$B$98,Proforma!$A12)</f>
        <v>-588828</v>
      </c>
      <c r="P12" s="266">
        <f>SUMIFS(INDEX('Argus Cash Flow Drop'!$B$1:$Z$98,0,MATCH(Proforma!P$3,'Argus Cash Flow Drop'!$B$1:$Z$1,0)),'Argus Cash Flow Drop'!$B$1:$B$98,Proforma!$A12)</f>
        <v>-2382661</v>
      </c>
    </row>
    <row r="13" spans="1:16" x14ac:dyDescent="0.3">
      <c r="A13" t="s">
        <v>107</v>
      </c>
      <c r="C13" s="260">
        <f>SUM(C10:C12)</f>
        <v>4.9484387411801105</v>
      </c>
      <c r="E13" s="263">
        <v>0</v>
      </c>
      <c r="F13" s="262">
        <f>SUM(F10:F12)</f>
        <v>166776261</v>
      </c>
      <c r="G13" s="262">
        <f t="shared" ref="G13:P13" si="3">SUM(G10:G12)</f>
        <v>176478808</v>
      </c>
      <c r="H13" s="262">
        <f t="shared" si="3"/>
        <v>191665326</v>
      </c>
      <c r="I13" s="262">
        <f t="shared" si="3"/>
        <v>196450250</v>
      </c>
      <c r="J13" s="262">
        <f t="shared" si="3"/>
        <v>192713503</v>
      </c>
      <c r="K13" s="262">
        <f t="shared" si="3"/>
        <v>162169783</v>
      </c>
      <c r="L13" s="262">
        <f t="shared" si="3"/>
        <v>186520150</v>
      </c>
      <c r="M13" s="262">
        <f t="shared" si="3"/>
        <v>188862030</v>
      </c>
      <c r="N13" s="262">
        <f t="shared" si="3"/>
        <v>189308676</v>
      </c>
      <c r="O13" s="262">
        <f t="shared" si="3"/>
        <v>193360550</v>
      </c>
      <c r="P13" s="262">
        <f t="shared" si="3"/>
        <v>187989449</v>
      </c>
    </row>
    <row r="14" spans="1:16" ht="5.25" customHeight="1" x14ac:dyDescent="0.3">
      <c r="C14" s="260"/>
      <c r="E14" s="263"/>
      <c r="F14" s="262"/>
      <c r="G14" s="262"/>
      <c r="H14" s="262"/>
      <c r="I14" s="262"/>
      <c r="J14" s="262"/>
      <c r="K14" s="262"/>
      <c r="L14" s="262"/>
      <c r="M14" s="262"/>
      <c r="N14" s="262"/>
      <c r="O14" s="262"/>
      <c r="P14" s="262"/>
    </row>
    <row r="15" spans="1:16" x14ac:dyDescent="0.3">
      <c r="A15" t="s">
        <v>136</v>
      </c>
      <c r="C15" s="260"/>
      <c r="E15" s="263"/>
      <c r="F15" s="262"/>
      <c r="G15" s="262"/>
      <c r="H15" s="262"/>
      <c r="I15" s="262"/>
      <c r="J15" s="262"/>
      <c r="K15" s="262"/>
      <c r="L15" s="262"/>
      <c r="M15" s="262"/>
      <c r="N15" s="262"/>
      <c r="O15" s="262"/>
      <c r="P15" s="262"/>
    </row>
    <row r="16" spans="1:16" x14ac:dyDescent="0.3">
      <c r="A16" t="s">
        <v>110</v>
      </c>
      <c r="C16" s="264">
        <f t="shared" ref="C16" si="4">F16/$A$2/12</f>
        <v>0.31643373055844254</v>
      </c>
      <c r="E16" s="265">
        <v>0</v>
      </c>
      <c r="F16" s="266">
        <f>SUMIFS(INDEX('Argus Cash Flow Drop'!$B$1:$Z$98,0,MATCH(Proforma!F$3,'Argus Cash Flow Drop'!$B$1:$Z$1,0)),'Argus Cash Flow Drop'!$B$1:$B$98,Proforma!$A16)</f>
        <v>10664704</v>
      </c>
      <c r="G16" s="266">
        <f>SUMIFS(INDEX('Argus Cash Flow Drop'!$B$1:$Z$98,0,MATCH(Proforma!G$3,'Argus Cash Flow Drop'!$B$1:$Z$1,0)),'Argus Cash Flow Drop'!$B$1:$B$98,Proforma!$A16)</f>
        <v>12357653</v>
      </c>
      <c r="H16" s="266">
        <f>SUMIFS(INDEX('Argus Cash Flow Drop'!$B$1:$Z$98,0,MATCH(Proforma!H$3,'Argus Cash Flow Drop'!$B$1:$Z$1,0)),'Argus Cash Flow Drop'!$B$1:$B$98,Proforma!$A16)</f>
        <v>13921960</v>
      </c>
      <c r="I16" s="266">
        <f>SUMIFS(INDEX('Argus Cash Flow Drop'!$B$1:$Z$98,0,MATCH(Proforma!I$3,'Argus Cash Flow Drop'!$B$1:$Z$1,0)),'Argus Cash Flow Drop'!$B$1:$B$98,Proforma!$A16)</f>
        <v>14912340</v>
      </c>
      <c r="J16" s="266">
        <f>SUMIFS(INDEX('Argus Cash Flow Drop'!$B$1:$Z$98,0,MATCH(Proforma!J$3,'Argus Cash Flow Drop'!$B$1:$Z$1,0)),'Argus Cash Flow Drop'!$B$1:$B$98,Proforma!$A16)</f>
        <v>15685452</v>
      </c>
      <c r="K16" s="266">
        <f>SUMIFS(INDEX('Argus Cash Flow Drop'!$B$1:$Z$98,0,MATCH(Proforma!K$3,'Argus Cash Flow Drop'!$B$1:$Z$1,0)),'Argus Cash Flow Drop'!$B$1:$B$98,Proforma!$A16)</f>
        <v>11651807</v>
      </c>
      <c r="L16" s="266">
        <f>SUMIFS(INDEX('Argus Cash Flow Drop'!$B$1:$Z$98,0,MATCH(Proforma!L$3,'Argus Cash Flow Drop'!$B$1:$Z$1,0)),'Argus Cash Flow Drop'!$B$1:$B$98,Proforma!$A16)</f>
        <v>13941425</v>
      </c>
      <c r="M16" s="266">
        <f>SUMIFS(INDEX('Argus Cash Flow Drop'!$B$1:$Z$98,0,MATCH(Proforma!M$3,'Argus Cash Flow Drop'!$B$1:$Z$1,0)),'Argus Cash Flow Drop'!$B$1:$B$98,Proforma!$A16)</f>
        <v>15633018</v>
      </c>
      <c r="N16" s="266">
        <f>SUMIFS(INDEX('Argus Cash Flow Drop'!$B$1:$Z$98,0,MATCH(Proforma!N$3,'Argus Cash Flow Drop'!$B$1:$Z$1,0)),'Argus Cash Flow Drop'!$B$1:$B$98,Proforma!$A16)</f>
        <v>18116768</v>
      </c>
      <c r="O16" s="266">
        <f>SUMIFS(INDEX('Argus Cash Flow Drop'!$B$1:$Z$98,0,MATCH(Proforma!O$3,'Argus Cash Flow Drop'!$B$1:$Z$1,0)),'Argus Cash Flow Drop'!$B$1:$B$98,Proforma!$A16)</f>
        <v>20183830</v>
      </c>
      <c r="P16" s="266">
        <f>SUMIFS(INDEX('Argus Cash Flow Drop'!$B$1:$Z$98,0,MATCH(Proforma!P$3,'Argus Cash Flow Drop'!$B$1:$Z$1,0)),'Argus Cash Flow Drop'!$B$1:$B$98,Proforma!$A16)</f>
        <v>20489924</v>
      </c>
    </row>
    <row r="17" spans="1:16" x14ac:dyDescent="0.3">
      <c r="A17" t="s">
        <v>112</v>
      </c>
      <c r="C17" s="260">
        <f>SUM(C16:C16)</f>
        <v>0.31643373055844254</v>
      </c>
      <c r="E17" s="263">
        <f t="shared" ref="E17:P17" si="5">SUM(E16:E16)</f>
        <v>0</v>
      </c>
      <c r="F17" s="262">
        <f t="shared" si="5"/>
        <v>10664704</v>
      </c>
      <c r="G17" s="262">
        <f t="shared" si="5"/>
        <v>12357653</v>
      </c>
      <c r="H17" s="262">
        <f t="shared" si="5"/>
        <v>13921960</v>
      </c>
      <c r="I17" s="262">
        <f t="shared" si="5"/>
        <v>14912340</v>
      </c>
      <c r="J17" s="262">
        <f t="shared" si="5"/>
        <v>15685452</v>
      </c>
      <c r="K17" s="262">
        <f t="shared" si="5"/>
        <v>11651807</v>
      </c>
      <c r="L17" s="262">
        <f t="shared" si="5"/>
        <v>13941425</v>
      </c>
      <c r="M17" s="262">
        <f t="shared" si="5"/>
        <v>15633018</v>
      </c>
      <c r="N17" s="262">
        <f t="shared" si="5"/>
        <v>18116768</v>
      </c>
      <c r="O17" s="262">
        <f t="shared" si="5"/>
        <v>20183830</v>
      </c>
      <c r="P17" s="262">
        <f t="shared" si="5"/>
        <v>20489924</v>
      </c>
    </row>
    <row r="18" spans="1:16" ht="5.25" customHeight="1" x14ac:dyDescent="0.3">
      <c r="C18" s="260"/>
      <c r="E18" s="263"/>
      <c r="F18" s="262"/>
      <c r="G18" s="262"/>
      <c r="H18" s="262"/>
      <c r="I18" s="262"/>
      <c r="J18" s="262"/>
      <c r="K18" s="262"/>
      <c r="L18" s="262"/>
      <c r="M18" s="262"/>
      <c r="N18" s="262"/>
      <c r="O18" s="262"/>
      <c r="P18" s="262"/>
    </row>
    <row r="19" spans="1:16" ht="0.9" customHeight="1" x14ac:dyDescent="0.3">
      <c r="C19" s="264"/>
      <c r="E19" s="265"/>
      <c r="F19" s="266"/>
      <c r="G19" s="266"/>
      <c r="H19" s="266"/>
      <c r="I19" s="266"/>
      <c r="J19" s="266"/>
      <c r="K19" s="266"/>
      <c r="L19" s="266"/>
      <c r="M19" s="266"/>
      <c r="N19" s="266"/>
      <c r="O19" s="266"/>
      <c r="P19" s="266"/>
    </row>
    <row r="20" spans="1:16" x14ac:dyDescent="0.3">
      <c r="C20" s="260"/>
      <c r="E20" s="263"/>
      <c r="F20" s="262"/>
      <c r="G20" s="262"/>
      <c r="H20" s="262"/>
      <c r="I20" s="262"/>
      <c r="J20" s="262"/>
      <c r="K20" s="262"/>
      <c r="L20" s="262"/>
      <c r="M20" s="262"/>
      <c r="N20" s="429"/>
      <c r="O20" s="262"/>
      <c r="P20" s="262"/>
    </row>
    <row r="21" spans="1:16" x14ac:dyDescent="0.3">
      <c r="A21" t="s">
        <v>113</v>
      </c>
      <c r="C21" s="260">
        <f>F21/$A$2/12</f>
        <v>5.2648724717385535</v>
      </c>
      <c r="E21" s="263">
        <f>E13+E17+E19</f>
        <v>0</v>
      </c>
      <c r="F21" s="262">
        <f t="shared" ref="F21:P21" si="6">F13+F17</f>
        <v>177440965</v>
      </c>
      <c r="G21" s="262">
        <f t="shared" si="6"/>
        <v>188836461</v>
      </c>
      <c r="H21" s="262">
        <f t="shared" si="6"/>
        <v>205587286</v>
      </c>
      <c r="I21" s="262">
        <f t="shared" si="6"/>
        <v>211362590</v>
      </c>
      <c r="J21" s="262">
        <f t="shared" si="6"/>
        <v>208398955</v>
      </c>
      <c r="K21" s="262">
        <f t="shared" si="6"/>
        <v>173821590</v>
      </c>
      <c r="L21" s="262">
        <f t="shared" si="6"/>
        <v>200461575</v>
      </c>
      <c r="M21" s="262">
        <f t="shared" si="6"/>
        <v>204495048</v>
      </c>
      <c r="N21" s="262">
        <f t="shared" si="6"/>
        <v>207425444</v>
      </c>
      <c r="O21" s="262">
        <f t="shared" si="6"/>
        <v>213544380</v>
      </c>
      <c r="P21" s="262">
        <f t="shared" si="6"/>
        <v>208479373</v>
      </c>
    </row>
    <row r="22" spans="1:16" ht="5.25" customHeight="1" x14ac:dyDescent="0.3">
      <c r="C22" s="260"/>
      <c r="E22" s="263"/>
      <c r="F22" s="262"/>
      <c r="G22" s="262"/>
      <c r="H22" s="262"/>
      <c r="I22" s="262"/>
      <c r="J22" s="262"/>
      <c r="K22" s="262"/>
      <c r="L22" s="262"/>
      <c r="M22" s="262"/>
      <c r="N22" s="262"/>
      <c r="O22" s="262"/>
      <c r="P22" s="262"/>
    </row>
    <row r="23" spans="1:16" x14ac:dyDescent="0.3">
      <c r="A23" t="s">
        <v>115</v>
      </c>
      <c r="C23" s="260">
        <f t="shared" ref="C23:C24" si="7">F23/$A$2/12</f>
        <v>-4.2705734513959141E-2</v>
      </c>
      <c r="E23" s="263">
        <v>0</v>
      </c>
      <c r="F23" s="262">
        <f>SUMIFS(INDEX('Argus Cash Flow Drop'!$B$1:$Z$98,0,MATCH(Proforma!F$3,'Argus Cash Flow Drop'!$B$1:$Z$1,0)),'Argus Cash Flow Drop'!$B$1:$B$98,Proforma!$A23)</f>
        <v>-1439303</v>
      </c>
      <c r="G23" s="262">
        <f>SUMIFS(INDEX('Argus Cash Flow Drop'!$B$1:$Z$98,0,MATCH(Proforma!G$3,'Argus Cash Flow Drop'!$B$1:$Z$1,0)),'Argus Cash Flow Drop'!$B$1:$B$98,Proforma!$A23)</f>
        <v>-6042782</v>
      </c>
      <c r="H23" s="262">
        <f>SUMIFS(INDEX('Argus Cash Flow Drop'!$B$1:$Z$98,0,MATCH(Proforma!H$3,'Argus Cash Flow Drop'!$B$1:$Z$1,0)),'Argus Cash Flow Drop'!$B$1:$B$98,Proforma!$A23)</f>
        <v>-15915053</v>
      </c>
      <c r="I23" s="262">
        <f>SUMIFS(INDEX('Argus Cash Flow Drop'!$B$1:$Z$98,0,MATCH(Proforma!I$3,'Argus Cash Flow Drop'!$B$1:$Z$1,0)),'Argus Cash Flow Drop'!$B$1:$B$98,Proforma!$A23)</f>
        <v>-17133104</v>
      </c>
      <c r="J23" s="262">
        <f>SUMIFS(INDEX('Argus Cash Flow Drop'!$B$1:$Z$98,0,MATCH(Proforma!J$3,'Argus Cash Flow Drop'!$B$1:$Z$1,0)),'Argus Cash Flow Drop'!$B$1:$B$98,Proforma!$A23)</f>
        <v>-14523799</v>
      </c>
      <c r="K23" s="262">
        <f>SUMIFS(INDEX('Argus Cash Flow Drop'!$B$1:$Z$98,0,MATCH(Proforma!K$3,'Argus Cash Flow Drop'!$B$1:$Z$1,0)),'Argus Cash Flow Drop'!$B$1:$B$98,Proforma!$A23)</f>
        <v>-5377765</v>
      </c>
      <c r="L23" s="262">
        <f>SUMIFS(INDEX('Argus Cash Flow Drop'!$B$1:$Z$98,0,MATCH(Proforma!L$3,'Argus Cash Flow Drop'!$B$1:$Z$1,0)),'Argus Cash Flow Drop'!$B$1:$B$98,Proforma!$A23)</f>
        <v>-18702592</v>
      </c>
      <c r="M23" s="262">
        <f>SUMIFS(INDEX('Argus Cash Flow Drop'!$B$1:$Z$98,0,MATCH(Proforma!M$3,'Argus Cash Flow Drop'!$B$1:$Z$1,0)),'Argus Cash Flow Drop'!$B$1:$B$98,Proforma!$A23)</f>
        <v>-19188027</v>
      </c>
      <c r="N23" s="262">
        <f>SUMIFS(INDEX('Argus Cash Flow Drop'!$B$1:$Z$98,0,MATCH(Proforma!N$3,'Argus Cash Flow Drop'!$B$1:$Z$1,0)),'Argus Cash Flow Drop'!$B$1:$B$98,Proforma!$A23)</f>
        <v>-19342855</v>
      </c>
      <c r="O23" s="262">
        <f>SUMIFS(INDEX('Argus Cash Flow Drop'!$B$1:$Z$98,0,MATCH(Proforma!O$3,'Argus Cash Flow Drop'!$B$1:$Z$1,0)),'Argus Cash Flow Drop'!$B$1:$B$98,Proforma!$A23)</f>
        <v>-20781540</v>
      </c>
      <c r="P23" s="262">
        <f>SUMIFS(INDEX('Argus Cash Flow Drop'!$B$1:$Z$98,0,MATCH(Proforma!P$3,'Argus Cash Flow Drop'!$B$1:$Z$1,0)),'Argus Cash Flow Drop'!$B$1:$B$98,Proforma!$A23)</f>
        <v>-14230812</v>
      </c>
    </row>
    <row r="24" spans="1:16" x14ac:dyDescent="0.3">
      <c r="A24" t="s">
        <v>116</v>
      </c>
      <c r="C24" s="264">
        <f t="shared" si="7"/>
        <v>-5.2648735102278132E-2</v>
      </c>
      <c r="E24" s="265">
        <v>0</v>
      </c>
      <c r="F24" s="266">
        <f>SUMIFS(INDEX('Argus Cash Flow Drop'!$B$1:$Z$98,0,MATCH(Proforma!F$3,'Argus Cash Flow Drop'!$B$1:$Z$1,0)),'Argus Cash Flow Drop'!$B$1:$B$98,Proforma!$A24)</f>
        <v>-1774410</v>
      </c>
      <c r="G24" s="266">
        <f>SUMIFS(INDEX('Argus Cash Flow Drop'!$B$1:$Z$98,0,MATCH(Proforma!G$3,'Argus Cash Flow Drop'!$B$1:$Z$1,0)),'Argus Cash Flow Drop'!$B$1:$B$98,Proforma!$A24)</f>
        <v>-1888365</v>
      </c>
      <c r="H24" s="266">
        <f>SUMIFS(INDEX('Argus Cash Flow Drop'!$B$1:$Z$98,0,MATCH(Proforma!H$3,'Argus Cash Flow Drop'!$B$1:$Z$1,0)),'Argus Cash Flow Drop'!$B$1:$B$98,Proforma!$A24)</f>
        <v>-2055873</v>
      </c>
      <c r="I24" s="266">
        <f>SUMIFS(INDEX('Argus Cash Flow Drop'!$B$1:$Z$98,0,MATCH(Proforma!I$3,'Argus Cash Flow Drop'!$B$1:$Z$1,0)),'Argus Cash Flow Drop'!$B$1:$B$98,Proforma!$A24)</f>
        <v>-2113626</v>
      </c>
      <c r="J24" s="266">
        <f>SUMIFS(INDEX('Argus Cash Flow Drop'!$B$1:$Z$98,0,MATCH(Proforma!J$3,'Argus Cash Flow Drop'!$B$1:$Z$1,0)),'Argus Cash Flow Drop'!$B$1:$B$98,Proforma!$A24)</f>
        <v>-2083990</v>
      </c>
      <c r="K24" s="266">
        <f>SUMIFS(INDEX('Argus Cash Flow Drop'!$B$1:$Z$98,0,MATCH(Proforma!K$3,'Argus Cash Flow Drop'!$B$1:$Z$1,0)),'Argus Cash Flow Drop'!$B$1:$B$98,Proforma!$A24)</f>
        <v>-1738216</v>
      </c>
      <c r="L24" s="266">
        <f>SUMIFS(INDEX('Argus Cash Flow Drop'!$B$1:$Z$98,0,MATCH(Proforma!L$3,'Argus Cash Flow Drop'!$B$1:$Z$1,0)),'Argus Cash Flow Drop'!$B$1:$B$98,Proforma!$A24)</f>
        <v>-2004616</v>
      </c>
      <c r="M24" s="266">
        <f>SUMIFS(INDEX('Argus Cash Flow Drop'!$B$1:$Z$98,0,MATCH(Proforma!M$3,'Argus Cash Flow Drop'!$B$1:$Z$1,0)),'Argus Cash Flow Drop'!$B$1:$B$98,Proforma!$A24)</f>
        <v>-2044950</v>
      </c>
      <c r="N24" s="266">
        <f>SUMIFS(INDEX('Argus Cash Flow Drop'!$B$1:$Z$98,0,MATCH(Proforma!N$3,'Argus Cash Flow Drop'!$B$1:$Z$1,0)),'Argus Cash Flow Drop'!$B$1:$B$98,Proforma!$A24)</f>
        <v>-2074254</v>
      </c>
      <c r="O24" s="266">
        <f>SUMIFS(INDEX('Argus Cash Flow Drop'!$B$1:$Z$98,0,MATCH(Proforma!O$3,'Argus Cash Flow Drop'!$B$1:$Z$1,0)),'Argus Cash Flow Drop'!$B$1:$B$98,Proforma!$A24)</f>
        <v>-2135444</v>
      </c>
      <c r="P24" s="266">
        <f>SUMIFS(INDEX('Argus Cash Flow Drop'!$B$1:$Z$98,0,MATCH(Proforma!P$3,'Argus Cash Flow Drop'!$B$1:$Z$1,0)),'Argus Cash Flow Drop'!$B$1:$B$98,Proforma!$A24)</f>
        <v>-2084794</v>
      </c>
    </row>
    <row r="25" spans="1:16" x14ac:dyDescent="0.3">
      <c r="A25" t="s">
        <v>117</v>
      </c>
      <c r="C25" s="260">
        <f>SUM(C23:C24)</f>
        <v>-9.5354469616237281E-2</v>
      </c>
      <c r="E25" s="263">
        <f>SUM(E23:E24)</f>
        <v>0</v>
      </c>
      <c r="F25" s="262">
        <f>SUM(F23:F24)</f>
        <v>-3213713</v>
      </c>
      <c r="G25" s="262">
        <f t="shared" ref="G25:P25" si="8">SUM(G23:G24)</f>
        <v>-7931147</v>
      </c>
      <c r="H25" s="262">
        <f t="shared" si="8"/>
        <v>-17970926</v>
      </c>
      <c r="I25" s="262">
        <f t="shared" si="8"/>
        <v>-19246730</v>
      </c>
      <c r="J25" s="262">
        <f t="shared" si="8"/>
        <v>-16607789</v>
      </c>
      <c r="K25" s="262">
        <f t="shared" si="8"/>
        <v>-7115981</v>
      </c>
      <c r="L25" s="262">
        <f t="shared" si="8"/>
        <v>-20707208</v>
      </c>
      <c r="M25" s="262">
        <f t="shared" si="8"/>
        <v>-21232977</v>
      </c>
      <c r="N25" s="262">
        <f t="shared" si="8"/>
        <v>-21417109</v>
      </c>
      <c r="O25" s="262">
        <f t="shared" si="8"/>
        <v>-22916984</v>
      </c>
      <c r="P25" s="262">
        <f t="shared" si="8"/>
        <v>-16315606</v>
      </c>
    </row>
    <row r="26" spans="1:16" ht="5.25" customHeight="1" x14ac:dyDescent="0.3">
      <c r="C26" s="260"/>
      <c r="E26" s="263"/>
      <c r="F26" s="262"/>
      <c r="G26" s="262"/>
      <c r="H26" s="262"/>
      <c r="I26" s="262"/>
      <c r="J26" s="262"/>
      <c r="K26" s="262"/>
      <c r="L26" s="262"/>
      <c r="M26" s="262"/>
      <c r="N26" s="262"/>
      <c r="O26" s="262"/>
      <c r="P26" s="262"/>
    </row>
    <row r="27" spans="1:16" x14ac:dyDescent="0.3">
      <c r="A27" s="37" t="s">
        <v>118</v>
      </c>
      <c r="B27" s="37"/>
      <c r="C27" s="92">
        <f>C21+C25</f>
        <v>5.1695180021223166</v>
      </c>
      <c r="D27" s="37"/>
      <c r="E27" s="66">
        <f>E21+E25</f>
        <v>0</v>
      </c>
      <c r="F27" s="67">
        <f>F21+F25</f>
        <v>174227252</v>
      </c>
      <c r="G27" s="67">
        <f t="shared" ref="G27:P27" si="9">G21+G25</f>
        <v>180905314</v>
      </c>
      <c r="H27" s="67">
        <f t="shared" si="9"/>
        <v>187616360</v>
      </c>
      <c r="I27" s="67">
        <f t="shared" si="9"/>
        <v>192115860</v>
      </c>
      <c r="J27" s="67">
        <f t="shared" si="9"/>
        <v>191791166</v>
      </c>
      <c r="K27" s="67">
        <f t="shared" si="9"/>
        <v>166705609</v>
      </c>
      <c r="L27" s="67">
        <f t="shared" si="9"/>
        <v>179754367</v>
      </c>
      <c r="M27" s="67">
        <f t="shared" si="9"/>
        <v>183262071</v>
      </c>
      <c r="N27" s="67">
        <f t="shared" si="9"/>
        <v>186008335</v>
      </c>
      <c r="O27" s="67">
        <f t="shared" si="9"/>
        <v>190627396</v>
      </c>
      <c r="P27" s="67">
        <f t="shared" si="9"/>
        <v>192163767</v>
      </c>
    </row>
    <row r="28" spans="1:16" x14ac:dyDescent="0.3">
      <c r="C28" s="260"/>
      <c r="E28" s="263"/>
      <c r="F28" s="262"/>
      <c r="G28" s="262"/>
      <c r="H28" s="262"/>
      <c r="I28" s="262"/>
      <c r="J28" s="262"/>
      <c r="K28" s="262"/>
      <c r="L28" s="262"/>
      <c r="M28" s="262"/>
      <c r="N28" s="262"/>
      <c r="O28" s="262"/>
      <c r="P28" s="262"/>
    </row>
    <row r="29" spans="1:16" x14ac:dyDescent="0.3">
      <c r="A29" s="37" t="s">
        <v>137</v>
      </c>
      <c r="C29" s="260"/>
      <c r="E29" s="263"/>
      <c r="F29" s="262"/>
      <c r="G29" s="262"/>
      <c r="H29" s="262"/>
      <c r="I29" s="262"/>
      <c r="J29" s="262"/>
      <c r="K29" s="262"/>
      <c r="L29" s="262"/>
      <c r="M29" s="262"/>
      <c r="N29" s="262"/>
      <c r="O29" s="262"/>
      <c r="P29" s="262"/>
    </row>
    <row r="30" spans="1:16" x14ac:dyDescent="0.3">
      <c r="A30" t="s">
        <v>165</v>
      </c>
      <c r="C30" s="260">
        <f>F30/$A$2/12</f>
        <v>0.88554216438489808</v>
      </c>
      <c r="E30" s="263">
        <v>0</v>
      </c>
      <c r="F30" s="262">
        <f>SUMIFS(INDEX('Argus Cash Flow Drop'!$A$1:$Z$200,0,MATCH(Proforma!F$3,'Argus Cash Flow Drop'!$A$1:$Z$1,0)),'Argus Cash Flow Drop'!$A$1:$A$200,Proforma!$A30)</f>
        <v>29845254</v>
      </c>
      <c r="G30" s="262">
        <f>SUMIFS(INDEX('Argus Cash Flow Drop'!$A$1:$Z$200,0,MATCH(Proforma!G$3,'Argus Cash Flow Drop'!$A$1:$Z$1,0)),'Argus Cash Flow Drop'!$A$1:$A$200,Proforma!$A30)</f>
        <v>30672357</v>
      </c>
      <c r="H30" s="262">
        <f>SUMIFS(INDEX('Argus Cash Flow Drop'!$A$1:$Z$200,0,MATCH(Proforma!H$3,'Argus Cash Flow Drop'!$A$1:$Z$1,0)),'Argus Cash Flow Drop'!$A$1:$A$200,Proforma!$A30)</f>
        <v>31668381</v>
      </c>
      <c r="I30" s="262">
        <f>SUMIFS(INDEX('Argus Cash Flow Drop'!$A$1:$Z$200,0,MATCH(Proforma!I$3,'Argus Cash Flow Drop'!$A$1:$Z$1,0)),'Argus Cash Flow Drop'!$A$1:$A$200,Proforma!$A30)</f>
        <v>32338329</v>
      </c>
      <c r="J30" s="262">
        <f>SUMIFS(INDEX('Argus Cash Flow Drop'!$A$1:$Z$200,0,MATCH(Proforma!J$3,'Argus Cash Flow Drop'!$A$1:$Z$1,0)),'Argus Cash Flow Drop'!$A$1:$A$200,Proforma!$A30)</f>
        <v>32882661</v>
      </c>
      <c r="K30" s="262">
        <f>SUMIFS(INDEX('Argus Cash Flow Drop'!$A$1:$Z$200,0,MATCH(Proforma!K$3,'Argus Cash Flow Drop'!$A$1:$Z$1,0)),'Argus Cash Flow Drop'!$A$1:$A$200,Proforma!$A30)</f>
        <v>33136766</v>
      </c>
      <c r="L30" s="262">
        <f>SUMIFS(INDEX('Argus Cash Flow Drop'!$A$1:$Z$200,0,MATCH(Proforma!L$3,'Argus Cash Flow Drop'!$A$1:$Z$1,0)),'Argus Cash Flow Drop'!$A$1:$A$200,Proforma!$A30)</f>
        <v>34441857</v>
      </c>
      <c r="M30" s="262">
        <f>SUMIFS(INDEX('Argus Cash Flow Drop'!$A$1:$Z$200,0,MATCH(Proforma!M$3,'Argus Cash Flow Drop'!$A$1:$Z$1,0)),'Argus Cash Flow Drop'!$A$1:$A$200,Proforma!$A30)</f>
        <v>35138544</v>
      </c>
      <c r="N30" s="262">
        <f>SUMIFS(INDEX('Argus Cash Flow Drop'!$A$1:$Z$200,0,MATCH(Proforma!N$3,'Argus Cash Flow Drop'!$A$1:$Z$1,0)),'Argus Cash Flow Drop'!$A$1:$A$200,Proforma!$A30)</f>
        <v>35837178</v>
      </c>
      <c r="O30" s="262">
        <f>SUMIFS(INDEX('Argus Cash Flow Drop'!$A$1:$Z$200,0,MATCH(Proforma!O$3,'Argus Cash Flow Drop'!$A$1:$Z$1,0)),'Argus Cash Flow Drop'!$A$1:$A$200,Proforma!$A30)</f>
        <v>36584095</v>
      </c>
      <c r="P30" s="262">
        <f>SUMIFS(INDEX('Argus Cash Flow Drop'!$A$1:$Z$200,0,MATCH(Proforma!P$3,'Argus Cash Flow Drop'!$A$1:$Z$1,0)),'Argus Cash Flow Drop'!$A$1:$A$200,Proforma!$A30)</f>
        <v>37043139</v>
      </c>
    </row>
    <row r="31" spans="1:16" x14ac:dyDescent="0.3">
      <c r="A31" t="s">
        <v>205</v>
      </c>
      <c r="C31" s="260">
        <f>F31/$A$2/12</f>
        <v>1.2764516566633446</v>
      </c>
      <c r="E31" s="263">
        <v>0</v>
      </c>
      <c r="F31" s="262">
        <f>SUMIFS(INDEX('Argus Cash Flow Drop'!$A$1:$Z$200,0,MATCH(Proforma!F$3,'Argus Cash Flow Drop'!$A$1:$Z$1,0)),'Argus Cash Flow Drop'!$A$1:$A$200,Proforma!$A31)</f>
        <v>43020000</v>
      </c>
      <c r="G31" s="262">
        <f>SUMIFS(INDEX('Argus Cash Flow Drop'!$A$1:$Z$200,0,MATCH(Proforma!G$3,'Argus Cash Flow Drop'!$A$1:$Z$1,0)),'Argus Cash Flow Drop'!$A$1:$A$200,Proforma!$A31)</f>
        <v>43880400</v>
      </c>
      <c r="H31" s="262">
        <f>SUMIFS(INDEX('Argus Cash Flow Drop'!$A$1:$Z$200,0,MATCH(Proforma!H$3,'Argus Cash Flow Drop'!$A$1:$Z$1,0)),'Argus Cash Flow Drop'!$A$1:$A$200,Proforma!$A31)</f>
        <v>44758008</v>
      </c>
      <c r="I31" s="262">
        <f>SUMIFS(INDEX('Argus Cash Flow Drop'!$A$1:$Z$200,0,MATCH(Proforma!I$3,'Argus Cash Flow Drop'!$A$1:$Z$1,0)),'Argus Cash Flow Drop'!$A$1:$A$200,Proforma!$A31)</f>
        <v>45653168</v>
      </c>
      <c r="J31" s="262">
        <f>SUMIFS(INDEX('Argus Cash Flow Drop'!$A$1:$Z$200,0,MATCH(Proforma!J$3,'Argus Cash Flow Drop'!$A$1:$Z$1,0)),'Argus Cash Flow Drop'!$A$1:$A$200,Proforma!$A31)</f>
        <v>46566232</v>
      </c>
      <c r="K31" s="262">
        <f>SUMIFS(INDEX('Argus Cash Flow Drop'!$A$1:$Z$200,0,MATCH(Proforma!K$3,'Argus Cash Flow Drop'!$A$1:$Z$1,0)),'Argus Cash Flow Drop'!$A$1:$A$200,Proforma!$A31)</f>
        <v>47497556</v>
      </c>
      <c r="L31" s="262">
        <f>SUMIFS(INDEX('Argus Cash Flow Drop'!$A$1:$Z$200,0,MATCH(Proforma!L$3,'Argus Cash Flow Drop'!$A$1:$Z$1,0)),'Argus Cash Flow Drop'!$A$1:$A$200,Proforma!$A31)</f>
        <v>48447507</v>
      </c>
      <c r="M31" s="262">
        <f>SUMIFS(INDEX('Argus Cash Flow Drop'!$A$1:$Z$200,0,MATCH(Proforma!M$3,'Argus Cash Flow Drop'!$A$1:$Z$1,0)),'Argus Cash Flow Drop'!$A$1:$A$200,Proforma!$A31)</f>
        <v>49416457</v>
      </c>
      <c r="N31" s="262">
        <f>SUMIFS(INDEX('Argus Cash Flow Drop'!$A$1:$Z$200,0,MATCH(Proforma!N$3,'Argus Cash Flow Drop'!$A$1:$Z$1,0)),'Argus Cash Flow Drop'!$A$1:$A$200,Proforma!$A31)</f>
        <v>50404787</v>
      </c>
      <c r="O31" s="262">
        <f>SUMIFS(INDEX('Argus Cash Flow Drop'!$A$1:$Z$200,0,MATCH(Proforma!O$3,'Argus Cash Flow Drop'!$A$1:$Z$1,0)),'Argus Cash Flow Drop'!$A$1:$A$200,Proforma!$A31)</f>
        <v>51412882</v>
      </c>
      <c r="P31" s="262">
        <f>SUMIFS(INDEX('Argus Cash Flow Drop'!$A$1:$Z$200,0,MATCH(Proforma!P$3,'Argus Cash Flow Drop'!$A$1:$Z$1,0)),'Argus Cash Flow Drop'!$A$1:$A$200,Proforma!$A31)</f>
        <v>52441140</v>
      </c>
    </row>
    <row r="32" spans="1:16" x14ac:dyDescent="0.3">
      <c r="A32" t="s">
        <v>207</v>
      </c>
      <c r="C32" s="260">
        <f>F32/$A$2/12</f>
        <v>0.16284312723653496</v>
      </c>
      <c r="E32" s="263">
        <v>0</v>
      </c>
      <c r="F32" s="262">
        <f>SUMIFS(INDEX('Argus Cash Flow Drop'!$A$1:$Z$200,0,MATCH(Proforma!F$3,'Argus Cash Flow Drop'!$A$1:$Z$1,0)),'Argus Cash Flow Drop'!$A$1:$A$200,Proforma!$A32)</f>
        <v>5488270</v>
      </c>
      <c r="G32" s="262">
        <f>SUMIFS(INDEX('Argus Cash Flow Drop'!$A$1:$Z$200,0,MATCH(Proforma!G$3,'Argus Cash Flow Drop'!$A$1:$Z$1,0)),'Argus Cash Flow Drop'!$A$1:$A$200,Proforma!$A32)</f>
        <v>5806542</v>
      </c>
      <c r="H32" s="262">
        <f>SUMIFS(INDEX('Argus Cash Flow Drop'!$A$1:$Z$200,0,MATCH(Proforma!H$3,'Argus Cash Flow Drop'!$A$1:$Z$1,0)),'Argus Cash Flow Drop'!$A$1:$A$200,Proforma!$A32)</f>
        <v>6269198</v>
      </c>
      <c r="I32" s="262">
        <f>SUMIFS(INDEX('Argus Cash Flow Drop'!$A$1:$Z$200,0,MATCH(Proforma!I$3,'Argus Cash Flow Drop'!$A$1:$Z$1,0)),'Argus Cash Flow Drop'!$A$1:$A$200,Proforma!$A32)</f>
        <v>6427715</v>
      </c>
      <c r="J32" s="262">
        <f>SUMIFS(INDEX('Argus Cash Flow Drop'!$A$1:$Z$200,0,MATCH(Proforma!J$3,'Argus Cash Flow Drop'!$A$1:$Z$1,0)),'Argus Cash Flow Drop'!$A$1:$A$200,Proforma!$A32)</f>
        <v>6463487</v>
      </c>
      <c r="K32" s="262">
        <f>SUMIFS(INDEX('Argus Cash Flow Drop'!$A$1:$Z$200,0,MATCH(Proforma!K$3,'Argus Cash Flow Drop'!$A$1:$Z$1,0)),'Argus Cash Flow Drop'!$A$1:$A$200,Proforma!$A32)</f>
        <v>6227235</v>
      </c>
      <c r="L32" s="262">
        <f>SUMIFS(INDEX('Argus Cash Flow Drop'!$A$1:$Z$200,0,MATCH(Proforma!L$3,'Argus Cash Flow Drop'!$A$1:$Z$1,0)),'Argus Cash Flow Drop'!$A$1:$A$200,Proforma!$A32)</f>
        <v>6933606</v>
      </c>
      <c r="M32" s="262">
        <f>SUMIFS(INDEX('Argus Cash Flow Drop'!$A$1:$Z$200,0,MATCH(Proforma!M$3,'Argus Cash Flow Drop'!$A$1:$Z$1,0)),'Argus Cash Flow Drop'!$A$1:$A$200,Proforma!$A32)</f>
        <v>7079388</v>
      </c>
      <c r="N32" s="262">
        <f>SUMIFS(INDEX('Argus Cash Flow Drop'!$A$1:$Z$200,0,MATCH(Proforma!N$3,'Argus Cash Flow Drop'!$A$1:$Z$1,0)),'Argus Cash Flow Drop'!$A$1:$A$200,Proforma!$A32)</f>
        <v>7217229</v>
      </c>
      <c r="O32" s="262">
        <f>SUMIFS(INDEX('Argus Cash Flow Drop'!$A$1:$Z$200,0,MATCH(Proforma!O$3,'Argus Cash Flow Drop'!$A$1:$Z$1,0)),'Argus Cash Flow Drop'!$A$1:$A$200,Proforma!$A32)</f>
        <v>7388904</v>
      </c>
      <c r="P32" s="262">
        <f>SUMIFS(INDEX('Argus Cash Flow Drop'!$A$1:$Z$200,0,MATCH(Proforma!P$3,'Argus Cash Flow Drop'!$A$1:$Z$1,0)),'Argus Cash Flow Drop'!$A$1:$A$200,Proforma!$A32)</f>
        <v>7289734</v>
      </c>
    </row>
    <row r="33" spans="1:17" x14ac:dyDescent="0.3">
      <c r="A33" t="s">
        <v>206</v>
      </c>
      <c r="C33" s="260">
        <f>F33/$A$2/12</f>
        <v>0.10083333125635481</v>
      </c>
      <c r="E33" s="263">
        <v>0</v>
      </c>
      <c r="F33" s="262">
        <f>SUMIFS(INDEX('Argus Cash Flow Drop'!$A$1:$Z$200,0,MATCH(Proforma!F$3,'Argus Cash Flow Drop'!$A$1:$Z$1,0)),'Argus Cash Flow Drop'!$A$1:$A$200,Proforma!$A33)</f>
        <v>3398366</v>
      </c>
      <c r="G33" s="262">
        <f>SUMIFS(INDEX('Argus Cash Flow Drop'!$A$1:$Z$200,0,MATCH(Proforma!G$3,'Argus Cash Flow Drop'!$A$1:$Z$1,0)),'Argus Cash Flow Drop'!$A$1:$A$200,Proforma!$A33)</f>
        <v>3466333</v>
      </c>
      <c r="H33" s="262">
        <f>SUMIFS(INDEX('Argus Cash Flow Drop'!$A$1:$Z$200,0,MATCH(Proforma!H$3,'Argus Cash Flow Drop'!$A$1:$Z$1,0)),'Argus Cash Flow Drop'!$A$1:$A$200,Proforma!$A33)</f>
        <v>3535660</v>
      </c>
      <c r="I33" s="262">
        <f>SUMIFS(INDEX('Argus Cash Flow Drop'!$A$1:$Z$200,0,MATCH(Proforma!I$3,'Argus Cash Flow Drop'!$A$1:$Z$1,0)),'Argus Cash Flow Drop'!$A$1:$A$200,Proforma!$A33)</f>
        <v>3606373</v>
      </c>
      <c r="J33" s="262">
        <f>SUMIFS(INDEX('Argus Cash Flow Drop'!$A$1:$Z$200,0,MATCH(Proforma!J$3,'Argus Cash Flow Drop'!$A$1:$Z$1,0)),'Argus Cash Flow Drop'!$A$1:$A$200,Proforma!$A33)</f>
        <v>3678501</v>
      </c>
      <c r="K33" s="262">
        <f>SUMIFS(INDEX('Argus Cash Flow Drop'!$A$1:$Z$200,0,MATCH(Proforma!K$3,'Argus Cash Flow Drop'!$A$1:$Z$1,0)),'Argus Cash Flow Drop'!$A$1:$A$200,Proforma!$A33)</f>
        <v>3752071</v>
      </c>
      <c r="L33" s="262">
        <f>SUMIFS(INDEX('Argus Cash Flow Drop'!$A$1:$Z$200,0,MATCH(Proforma!L$3,'Argus Cash Flow Drop'!$A$1:$Z$1,0)),'Argus Cash Flow Drop'!$A$1:$A$200,Proforma!$A33)</f>
        <v>3827112</v>
      </c>
      <c r="M33" s="262">
        <f>SUMIFS(INDEX('Argus Cash Flow Drop'!$A$1:$Z$200,0,MATCH(Proforma!M$3,'Argus Cash Flow Drop'!$A$1:$Z$1,0)),'Argus Cash Flow Drop'!$A$1:$A$200,Proforma!$A33)</f>
        <v>3903654</v>
      </c>
      <c r="N33" s="262">
        <f>SUMIFS(INDEX('Argus Cash Flow Drop'!$A$1:$Z$200,0,MATCH(Proforma!N$3,'Argus Cash Flow Drop'!$A$1:$Z$1,0)),'Argus Cash Flow Drop'!$A$1:$A$200,Proforma!$A33)</f>
        <v>3981727</v>
      </c>
      <c r="O33" s="262">
        <f>SUMIFS(INDEX('Argus Cash Flow Drop'!$A$1:$Z$200,0,MATCH(Proforma!O$3,'Argus Cash Flow Drop'!$A$1:$Z$1,0)),'Argus Cash Flow Drop'!$A$1:$A$200,Proforma!$A33)</f>
        <v>4061362</v>
      </c>
      <c r="P33" s="262">
        <f>SUMIFS(INDEX('Argus Cash Flow Drop'!$A$1:$Z$200,0,MATCH(Proforma!P$3,'Argus Cash Flow Drop'!$A$1:$Z$1,0)),'Argus Cash Flow Drop'!$A$1:$A$200,Proforma!$A33)</f>
        <v>4142589</v>
      </c>
    </row>
    <row r="34" spans="1:17" x14ac:dyDescent="0.3">
      <c r="A34" t="s">
        <v>208</v>
      </c>
      <c r="C34" s="264">
        <f>F34/$A$2/12</f>
        <v>0.15508555311896302</v>
      </c>
      <c r="E34" s="265">
        <v>0</v>
      </c>
      <c r="F34" s="266">
        <f>SUMIFS(INDEX('Argus Cash Flow Drop'!$A$1:$Z$200,0,MATCH(Proforma!F$3,'Argus Cash Flow Drop'!$A$1:$Z$1,0)),'Argus Cash Flow Drop'!$A$1:$A$200,Proforma!$A34)</f>
        <v>5226818</v>
      </c>
      <c r="G34" s="266">
        <f>SUMIFS(INDEX('Argus Cash Flow Drop'!$A$1:$Z$200,0,MATCH(Proforma!G$3,'Argus Cash Flow Drop'!$A$1:$Z$1,0)),'Argus Cash Flow Drop'!$A$1:$A$200,Proforma!$A34)</f>
        <v>5427159</v>
      </c>
      <c r="H34" s="266">
        <f>SUMIFS(INDEX('Argus Cash Flow Drop'!$A$1:$Z$200,0,MATCH(Proforma!H$3,'Argus Cash Flow Drop'!$A$1:$Z$1,0)),'Argus Cash Flow Drop'!$A$1:$A$200,Proforma!$A34)</f>
        <v>5628491</v>
      </c>
      <c r="I34" s="266">
        <f>SUMIFS(INDEX('Argus Cash Flow Drop'!$A$1:$Z$200,0,MATCH(Proforma!I$3,'Argus Cash Flow Drop'!$A$1:$Z$1,0)),'Argus Cash Flow Drop'!$A$1:$A$200,Proforma!$A34)</f>
        <v>5763476</v>
      </c>
      <c r="J34" s="266">
        <f>SUMIFS(INDEX('Argus Cash Flow Drop'!$A$1:$Z$200,0,MATCH(Proforma!J$3,'Argus Cash Flow Drop'!$A$1:$Z$1,0)),'Argus Cash Flow Drop'!$A$1:$A$200,Proforma!$A34)</f>
        <v>5753735</v>
      </c>
      <c r="K34" s="266">
        <f>SUMIFS(INDEX('Argus Cash Flow Drop'!$A$1:$Z$200,0,MATCH(Proforma!K$3,'Argus Cash Flow Drop'!$A$1:$Z$1,0)),'Argus Cash Flow Drop'!$A$1:$A$200,Proforma!$A34)</f>
        <v>5001168</v>
      </c>
      <c r="L34" s="266">
        <f>SUMIFS(INDEX('Argus Cash Flow Drop'!$A$1:$Z$200,0,MATCH(Proforma!L$3,'Argus Cash Flow Drop'!$A$1:$Z$1,0)),'Argus Cash Flow Drop'!$A$1:$A$200,Proforma!$A34)</f>
        <v>5392631</v>
      </c>
      <c r="M34" s="266">
        <f>SUMIFS(INDEX('Argus Cash Flow Drop'!$A$1:$Z$200,0,MATCH(Proforma!M$3,'Argus Cash Flow Drop'!$A$1:$Z$1,0)),'Argus Cash Flow Drop'!$A$1:$A$200,Proforma!$A34)</f>
        <v>5497862</v>
      </c>
      <c r="N34" s="266">
        <f>SUMIFS(INDEX('Argus Cash Flow Drop'!$A$1:$Z$200,0,MATCH(Proforma!N$3,'Argus Cash Flow Drop'!$A$1:$Z$1,0)),'Argus Cash Flow Drop'!$A$1:$A$200,Proforma!$A34)</f>
        <v>5580250</v>
      </c>
      <c r="O34" s="266">
        <f>SUMIFS(INDEX('Argus Cash Flow Drop'!$A$1:$Z$200,0,MATCH(Proforma!O$3,'Argus Cash Flow Drop'!$A$1:$Z$1,0)),'Argus Cash Flow Drop'!$A$1:$A$200,Proforma!$A34)</f>
        <v>5718822</v>
      </c>
      <c r="P34" s="266">
        <f>SUMIFS(INDEX('Argus Cash Flow Drop'!$A$1:$Z$200,0,MATCH(Proforma!P$3,'Argus Cash Flow Drop'!$A$1:$Z$1,0)),'Argus Cash Flow Drop'!$A$1:$A$200,Proforma!$A34)</f>
        <v>5764913</v>
      </c>
    </row>
    <row r="35" spans="1:17" x14ac:dyDescent="0.3">
      <c r="A35" s="37" t="s">
        <v>120</v>
      </c>
      <c r="B35" s="37"/>
      <c r="C35" s="93">
        <f>SUM(C30:C34)</f>
        <v>2.5807558326600959</v>
      </c>
      <c r="D35" s="37"/>
      <c r="E35" s="68">
        <f t="shared" ref="E35:P35" si="10">SUM(E30:E34)</f>
        <v>0</v>
      </c>
      <c r="F35" s="69">
        <f t="shared" si="10"/>
        <v>86978708</v>
      </c>
      <c r="G35" s="69">
        <f t="shared" si="10"/>
        <v>89252791</v>
      </c>
      <c r="H35" s="69">
        <f t="shared" si="10"/>
        <v>91859738</v>
      </c>
      <c r="I35" s="69">
        <f t="shared" si="10"/>
        <v>93789061</v>
      </c>
      <c r="J35" s="69">
        <f t="shared" si="10"/>
        <v>95344616</v>
      </c>
      <c r="K35" s="69">
        <f t="shared" si="10"/>
        <v>95614796</v>
      </c>
      <c r="L35" s="69">
        <f t="shared" si="10"/>
        <v>99042713</v>
      </c>
      <c r="M35" s="69">
        <f t="shared" si="10"/>
        <v>101035905</v>
      </c>
      <c r="N35" s="69">
        <f t="shared" si="10"/>
        <v>103021171</v>
      </c>
      <c r="O35" s="69">
        <f t="shared" si="10"/>
        <v>105166065</v>
      </c>
      <c r="P35" s="69">
        <f t="shared" si="10"/>
        <v>106681515</v>
      </c>
    </row>
    <row r="36" spans="1:17" x14ac:dyDescent="0.3">
      <c r="C36" s="260"/>
      <c r="E36" s="263"/>
      <c r="F36" s="262"/>
      <c r="G36" s="262"/>
      <c r="H36" s="262"/>
      <c r="I36" s="262"/>
      <c r="J36" s="262"/>
      <c r="K36" s="262"/>
      <c r="L36" s="262"/>
      <c r="M36" s="262"/>
      <c r="N36" s="262"/>
      <c r="O36" s="262"/>
      <c r="P36" s="262"/>
    </row>
    <row r="37" spans="1:17" s="37" customFormat="1" ht="15" thickBot="1" x14ac:dyDescent="0.35">
      <c r="A37" s="37" t="s">
        <v>121</v>
      </c>
      <c r="C37" s="94">
        <f>C27-C35</f>
        <v>2.5887621694622207</v>
      </c>
      <c r="E37" s="70">
        <f t="shared" ref="E37:P37" si="11">E27-E35</f>
        <v>0</v>
      </c>
      <c r="F37" s="71">
        <f t="shared" si="11"/>
        <v>87248544</v>
      </c>
      <c r="G37" s="71">
        <f t="shared" si="11"/>
        <v>91652523</v>
      </c>
      <c r="H37" s="71">
        <f t="shared" si="11"/>
        <v>95756622</v>
      </c>
      <c r="I37" s="71">
        <f t="shared" si="11"/>
        <v>98326799</v>
      </c>
      <c r="J37" s="71">
        <f t="shared" si="11"/>
        <v>96446550</v>
      </c>
      <c r="K37" s="71">
        <f t="shared" si="11"/>
        <v>71090813</v>
      </c>
      <c r="L37" s="71">
        <f t="shared" si="11"/>
        <v>80711654</v>
      </c>
      <c r="M37" s="71">
        <f t="shared" si="11"/>
        <v>82226166</v>
      </c>
      <c r="N37" s="71">
        <f t="shared" si="11"/>
        <v>82987164</v>
      </c>
      <c r="O37" s="71">
        <f t="shared" si="11"/>
        <v>85461331</v>
      </c>
      <c r="P37" s="71">
        <f t="shared" si="11"/>
        <v>85482252</v>
      </c>
    </row>
    <row r="38" spans="1:17" ht="15" thickTop="1" x14ac:dyDescent="0.3">
      <c r="C38" s="260"/>
      <c r="E38" s="263"/>
      <c r="F38" s="262"/>
      <c r="G38" s="262"/>
      <c r="H38" s="262"/>
      <c r="I38" s="262"/>
      <c r="J38" s="262"/>
      <c r="K38" s="262"/>
      <c r="L38" s="262"/>
      <c r="M38" s="262"/>
      <c r="N38" s="262"/>
      <c r="O38" s="262"/>
      <c r="P38" s="262"/>
    </row>
    <row r="39" spans="1:17" x14ac:dyDescent="0.3">
      <c r="A39" s="37" t="s">
        <v>140</v>
      </c>
      <c r="C39" s="260"/>
      <c r="E39" s="263"/>
      <c r="F39" s="262"/>
      <c r="G39" s="262"/>
      <c r="H39" s="262"/>
      <c r="I39" s="262"/>
      <c r="J39" s="262"/>
      <c r="K39" s="262"/>
      <c r="L39" s="262"/>
      <c r="M39" s="262"/>
      <c r="N39" s="262"/>
      <c r="O39" s="262"/>
      <c r="P39" s="262"/>
    </row>
    <row r="40" spans="1:17" x14ac:dyDescent="0.3">
      <c r="A40" t="s">
        <v>123</v>
      </c>
      <c r="C40" s="260">
        <f t="shared" ref="C40:C41" si="12">F40/$A$2/12</f>
        <v>1.0370018767577915</v>
      </c>
      <c r="E40" s="263">
        <v>0</v>
      </c>
      <c r="F40" s="262">
        <f>SUMIFS(INDEX('Argus Cash Flow Drop'!$B$1:$Z$98,0,MATCH(Proforma!F$3,'Argus Cash Flow Drop'!$B$1:$Z$1,0)),'Argus Cash Flow Drop'!$B$1:$B$98,Proforma!$A40)</f>
        <v>34949871</v>
      </c>
      <c r="G40" s="262">
        <f>SUMIFS(INDEX('Argus Cash Flow Drop'!$B$1:$Z$98,0,MATCH(Proforma!G$3,'Argus Cash Flow Drop'!$B$1:$Z$1,0)),'Argus Cash Flow Drop'!$B$1:$B$98,Proforma!$A40)</f>
        <v>22950092</v>
      </c>
      <c r="H40" s="262">
        <f>SUMIFS(INDEX('Argus Cash Flow Drop'!$B$1:$Z$98,0,MATCH(Proforma!H$3,'Argus Cash Flow Drop'!$B$1:$Z$1,0)),'Argus Cash Flow Drop'!$B$1:$B$98,Proforma!$A40)</f>
        <v>13696597</v>
      </c>
      <c r="I40" s="262">
        <f>SUMIFS(INDEX('Argus Cash Flow Drop'!$B$1:$Z$98,0,MATCH(Proforma!I$3,'Argus Cash Flow Drop'!$B$1:$Z$1,0)),'Argus Cash Flow Drop'!$B$1:$B$98,Proforma!$A40)</f>
        <v>10184088</v>
      </c>
      <c r="J40" s="262">
        <f>SUMIFS(INDEX('Argus Cash Flow Drop'!$B$1:$Z$98,0,MATCH(Proforma!J$3,'Argus Cash Flow Drop'!$B$1:$Z$1,0)),'Argus Cash Flow Drop'!$B$1:$B$98,Proforma!$A40)</f>
        <v>8652727</v>
      </c>
      <c r="K40" s="262">
        <f>SUMIFS(INDEX('Argus Cash Flow Drop'!$B$1:$Z$98,0,MATCH(Proforma!K$3,'Argus Cash Flow Drop'!$B$1:$Z$1,0)),'Argus Cash Flow Drop'!$B$1:$B$98,Proforma!$A40)</f>
        <v>53012645</v>
      </c>
      <c r="L40" s="262">
        <f>SUMIFS(INDEX('Argus Cash Flow Drop'!$B$1:$Z$98,0,MATCH(Proforma!L$3,'Argus Cash Flow Drop'!$B$1:$Z$1,0)),'Argus Cash Flow Drop'!$B$1:$B$98,Proforma!$A40)</f>
        <v>3063045</v>
      </c>
      <c r="M40" s="262">
        <f>SUMIFS(INDEX('Argus Cash Flow Drop'!$B$1:$Z$98,0,MATCH(Proforma!M$3,'Argus Cash Flow Drop'!$B$1:$Z$1,0)),'Argus Cash Flow Drop'!$B$1:$B$98,Proforma!$A40)</f>
        <v>3405628</v>
      </c>
      <c r="N40" s="262">
        <f>SUMIFS(INDEX('Argus Cash Flow Drop'!$B$1:$Z$98,0,MATCH(Proforma!N$3,'Argus Cash Flow Drop'!$B$1:$Z$1,0)),'Argus Cash Flow Drop'!$B$1:$B$98,Proforma!$A40)</f>
        <v>2850373</v>
      </c>
      <c r="O40" s="262">
        <f>SUMIFS(INDEX('Argus Cash Flow Drop'!$B$1:$Z$98,0,MATCH(Proforma!O$3,'Argus Cash Flow Drop'!$B$1:$Z$1,0)),'Argus Cash Flow Drop'!$B$1:$B$98,Proforma!$A40)</f>
        <v>1905593</v>
      </c>
      <c r="P40" s="262">
        <f>SUMIFS(INDEX('Argus Cash Flow Drop'!$B$1:$Z$98,0,MATCH(Proforma!P$3,'Argus Cash Flow Drop'!$B$1:$Z$1,0)),'Argus Cash Flow Drop'!$B$1:$B$98,Proforma!$A40)</f>
        <v>11960829</v>
      </c>
    </row>
    <row r="41" spans="1:17" x14ac:dyDescent="0.3">
      <c r="A41" t="s">
        <v>124</v>
      </c>
      <c r="C41" s="264">
        <f t="shared" si="12"/>
        <v>0.51618138360238508</v>
      </c>
      <c r="E41" s="265">
        <v>0</v>
      </c>
      <c r="F41" s="266">
        <f>SUMIFS(INDEX('Argus Cash Flow Drop'!$B$1:$Z$98,0,MATCH(Proforma!F$3,'Argus Cash Flow Drop'!$B$1:$Z$1,0)),'Argus Cash Flow Drop'!$B$1:$B$98,Proforma!$A41)</f>
        <v>17396760</v>
      </c>
      <c r="G41" s="266">
        <f>SUMIFS(INDEX('Argus Cash Flow Drop'!$B$1:$Z$98,0,MATCH(Proforma!G$3,'Argus Cash Flow Drop'!$B$1:$Z$1,0)),'Argus Cash Flow Drop'!$B$1:$B$98,Proforma!$A41)</f>
        <v>11767357</v>
      </c>
      <c r="H41" s="266">
        <f>SUMIFS(INDEX('Argus Cash Flow Drop'!$B$1:$Z$98,0,MATCH(Proforma!H$3,'Argus Cash Flow Drop'!$B$1:$Z$1,0)),'Argus Cash Flow Drop'!$B$1:$B$98,Proforma!$A41)</f>
        <v>7504618</v>
      </c>
      <c r="I41" s="266">
        <f>SUMIFS(INDEX('Argus Cash Flow Drop'!$B$1:$Z$98,0,MATCH(Proforma!I$3,'Argus Cash Flow Drop'!$B$1:$Z$1,0)),'Argus Cash Flow Drop'!$B$1:$B$98,Proforma!$A41)</f>
        <v>5017969</v>
      </c>
      <c r="J41" s="266">
        <f>SUMIFS(INDEX('Argus Cash Flow Drop'!$B$1:$Z$98,0,MATCH(Proforma!J$3,'Argus Cash Flow Drop'!$B$1:$Z$1,0)),'Argus Cash Flow Drop'!$B$1:$B$98,Proforma!$A41)</f>
        <v>4279690</v>
      </c>
      <c r="K41" s="266">
        <f>SUMIFS(INDEX('Argus Cash Flow Drop'!$B$1:$Z$98,0,MATCH(Proforma!K$3,'Argus Cash Flow Drop'!$B$1:$Z$1,0)),'Argus Cash Flow Drop'!$B$1:$B$98,Proforma!$A41)</f>
        <v>22385292</v>
      </c>
      <c r="L41" s="266">
        <f>SUMIFS(INDEX('Argus Cash Flow Drop'!$B$1:$Z$98,0,MATCH(Proforma!L$3,'Argus Cash Flow Drop'!$B$1:$Z$1,0)),'Argus Cash Flow Drop'!$B$1:$B$98,Proforma!$A41)</f>
        <v>1668221</v>
      </c>
      <c r="M41" s="266">
        <f>SUMIFS(INDEX('Argus Cash Flow Drop'!$B$1:$Z$98,0,MATCH(Proforma!M$3,'Argus Cash Flow Drop'!$B$1:$Z$1,0)),'Argus Cash Flow Drop'!$B$1:$B$98,Proforma!$A41)</f>
        <v>1832477</v>
      </c>
      <c r="N41" s="266">
        <f>SUMIFS(INDEX('Argus Cash Flow Drop'!$B$1:$Z$98,0,MATCH(Proforma!N$3,'Argus Cash Flow Drop'!$B$1:$Z$1,0)),'Argus Cash Flow Drop'!$B$1:$B$98,Proforma!$A41)</f>
        <v>1505407</v>
      </c>
      <c r="O41" s="266">
        <f>SUMIFS(INDEX('Argus Cash Flow Drop'!$B$1:$Z$98,0,MATCH(Proforma!O$3,'Argus Cash Flow Drop'!$B$1:$Z$1,0)),'Argus Cash Flow Drop'!$B$1:$B$98,Proforma!$A41)</f>
        <v>960270</v>
      </c>
      <c r="P41" s="266">
        <f>SUMIFS(INDEX('Argus Cash Flow Drop'!$B$1:$Z$98,0,MATCH(Proforma!P$3,'Argus Cash Flow Drop'!$B$1:$Z$1,0)),'Argus Cash Flow Drop'!$B$1:$B$98,Proforma!$A41)</f>
        <v>6384266</v>
      </c>
    </row>
    <row r="42" spans="1:17" x14ac:dyDescent="0.3">
      <c r="A42" t="s">
        <v>138</v>
      </c>
      <c r="C42" s="260">
        <f>SUM(C40:C41)</f>
        <v>1.5531832603601767</v>
      </c>
      <c r="E42" s="263">
        <f>SUM(E40:E41)</f>
        <v>0</v>
      </c>
      <c r="F42" s="262">
        <f>SUM(F40:F41)</f>
        <v>52346631</v>
      </c>
      <c r="G42" s="262">
        <f t="shared" ref="G42:P42" si="13">SUM(G40:G41)</f>
        <v>34717449</v>
      </c>
      <c r="H42" s="262">
        <f t="shared" si="13"/>
        <v>21201215</v>
      </c>
      <c r="I42" s="262">
        <f t="shared" si="13"/>
        <v>15202057</v>
      </c>
      <c r="J42" s="262">
        <f t="shared" si="13"/>
        <v>12932417</v>
      </c>
      <c r="K42" s="262">
        <f t="shared" si="13"/>
        <v>75397937</v>
      </c>
      <c r="L42" s="262">
        <f t="shared" si="13"/>
        <v>4731266</v>
      </c>
      <c r="M42" s="262">
        <f t="shared" si="13"/>
        <v>5238105</v>
      </c>
      <c r="N42" s="262">
        <f t="shared" si="13"/>
        <v>4355780</v>
      </c>
      <c r="O42" s="262">
        <f t="shared" si="13"/>
        <v>2865863</v>
      </c>
      <c r="P42" s="262">
        <f t="shared" si="13"/>
        <v>18345095</v>
      </c>
    </row>
    <row r="43" spans="1:17" x14ac:dyDescent="0.3">
      <c r="A43" t="s">
        <v>131</v>
      </c>
      <c r="C43" s="264"/>
      <c r="E43" s="265">
        <v>0</v>
      </c>
      <c r="F43" s="266">
        <f>SUMIFS(INDEX('Argus Cash Flow Drop'!$B$1:$Z$98,0,MATCH(Proforma!F$3,'Argus Cash Flow Drop'!$B$1:$Z$1,0)),'Argus Cash Flow Drop'!$B$1:$B$98,Proforma!$A43)</f>
        <v>10608333</v>
      </c>
      <c r="G43" s="266">
        <f>SUMIFS(INDEX('Argus Cash Flow Drop'!$B$1:$Z$98,0,MATCH(Proforma!G$3,'Argus Cash Flow Drop'!$B$1:$Z$1,0)),'Argus Cash Flow Drop'!$B$1:$B$98,Proforma!$A43)</f>
        <v>10608833</v>
      </c>
      <c r="H43" s="266">
        <f>SUMIFS(INDEX('Argus Cash Flow Drop'!$B$1:$Z$98,0,MATCH(Proforma!H$3,'Argus Cash Flow Drop'!$B$1:$Z$1,0)),'Argus Cash Flow Drop'!$B$1:$B$98,Proforma!$A43)</f>
        <v>10609343</v>
      </c>
      <c r="I43" s="266">
        <f>SUMIFS(INDEX('Argus Cash Flow Drop'!$B$1:$Z$98,0,MATCH(Proforma!I$3,'Argus Cash Flow Drop'!$B$1:$Z$1,0)),'Argus Cash Flow Drop'!$B$1:$B$98,Proforma!$A43)</f>
        <v>4976530</v>
      </c>
      <c r="J43" s="266">
        <f>SUMIFS(INDEX('Argus Cash Flow Drop'!$B$1:$Z$98,0,MATCH(Proforma!J$3,'Argus Cash Flow Drop'!$B$1:$Z$1,0)),'Argus Cash Flow Drop'!$B$1:$B$98,Proforma!$A43)</f>
        <v>2227061</v>
      </c>
      <c r="K43" s="266">
        <f>SUMIFS(INDEX('Argus Cash Flow Drop'!$B$1:$Z$98,0,MATCH(Proforma!K$3,'Argus Cash Flow Drop'!$B$1:$Z$1,0)),'Argus Cash Flow Drop'!$B$1:$B$98,Proforma!$A43)</f>
        <v>27602</v>
      </c>
      <c r="L43" s="266">
        <f>SUMIFS(INDEX('Argus Cash Flow Drop'!$B$1:$Z$98,0,MATCH(Proforma!L$3,'Argus Cash Flow Drop'!$B$1:$Z$1,0)),'Argus Cash Flow Drop'!$B$1:$B$98,Proforma!$A43)</f>
        <v>28154</v>
      </c>
      <c r="M43" s="266">
        <f>SUMIFS(INDEX('Argus Cash Flow Drop'!$B$1:$Z$98,0,MATCH(Proforma!M$3,'Argus Cash Flow Drop'!$B$1:$Z$1,0)),'Argus Cash Flow Drop'!$B$1:$B$98,Proforma!$A43)</f>
        <v>28717</v>
      </c>
      <c r="N43" s="266">
        <f>SUMIFS(INDEX('Argus Cash Flow Drop'!$B$1:$Z$98,0,MATCH(Proforma!N$3,'Argus Cash Flow Drop'!$B$1:$Z$1,0)),'Argus Cash Flow Drop'!$B$1:$B$98,Proforma!$A43)</f>
        <v>29291</v>
      </c>
      <c r="O43" s="266">
        <f>SUMIFS(INDEX('Argus Cash Flow Drop'!$B$1:$Z$98,0,MATCH(Proforma!O$3,'Argus Cash Flow Drop'!$B$1:$Z$1,0)),'Argus Cash Flow Drop'!$B$1:$B$98,Proforma!$A43)</f>
        <v>29877</v>
      </c>
      <c r="P43" s="266">
        <f>SUMIFS(INDEX('Argus Cash Flow Drop'!$B$1:$Z$98,0,MATCH(Proforma!P$3,'Argus Cash Flow Drop'!$B$1:$Z$1,0)),'Argus Cash Flow Drop'!$B$1:$B$98,Proforma!$A43)</f>
        <v>30475</v>
      </c>
      <c r="Q43" s="538"/>
    </row>
    <row r="44" spans="1:17" x14ac:dyDescent="0.3">
      <c r="A44" s="37" t="s">
        <v>139</v>
      </c>
      <c r="B44" s="37"/>
      <c r="C44" s="93">
        <f>SUM(C42:C43)</f>
        <v>1.5531832603601767</v>
      </c>
      <c r="D44" s="37"/>
      <c r="E44" s="68">
        <f>SUM(E42:E43)</f>
        <v>0</v>
      </c>
      <c r="F44" s="69">
        <f>SUM(F42:F43)</f>
        <v>62954964</v>
      </c>
      <c r="G44" s="69">
        <f t="shared" ref="G44:P44" si="14">SUM(G42:G43)</f>
        <v>45326282</v>
      </c>
      <c r="H44" s="69">
        <f t="shared" si="14"/>
        <v>31810558</v>
      </c>
      <c r="I44" s="69">
        <f t="shared" si="14"/>
        <v>20178587</v>
      </c>
      <c r="J44" s="69">
        <f t="shared" si="14"/>
        <v>15159478</v>
      </c>
      <c r="K44" s="69">
        <f t="shared" si="14"/>
        <v>75425539</v>
      </c>
      <c r="L44" s="69">
        <f t="shared" si="14"/>
        <v>4759420</v>
      </c>
      <c r="M44" s="69">
        <f t="shared" si="14"/>
        <v>5266822</v>
      </c>
      <c r="N44" s="69">
        <f t="shared" si="14"/>
        <v>4385071</v>
      </c>
      <c r="O44" s="69">
        <f t="shared" si="14"/>
        <v>2895740</v>
      </c>
      <c r="P44" s="69">
        <f t="shared" si="14"/>
        <v>18375570</v>
      </c>
      <c r="Q44" s="262"/>
    </row>
    <row r="45" spans="1:17" x14ac:dyDescent="0.3">
      <c r="C45" s="260"/>
      <c r="E45" s="265"/>
      <c r="F45" s="266"/>
      <c r="G45" s="266"/>
      <c r="H45" s="266"/>
      <c r="I45" s="266"/>
      <c r="J45" s="266"/>
      <c r="K45" s="266"/>
      <c r="L45" s="266"/>
      <c r="M45" s="266"/>
      <c r="N45" s="266"/>
      <c r="O45" s="266"/>
      <c r="P45" s="266"/>
    </row>
    <row r="46" spans="1:17" x14ac:dyDescent="0.3">
      <c r="A46" t="s">
        <v>172</v>
      </c>
      <c r="C46" s="260"/>
      <c r="E46" s="263">
        <f>-'Building Analysis'!B5</f>
        <v>-904283329</v>
      </c>
      <c r="F46" s="263">
        <f t="shared" ref="F46:P46" si="15">F37-F44</f>
        <v>24293580</v>
      </c>
      <c r="G46" s="263">
        <f t="shared" si="15"/>
        <v>46326241</v>
      </c>
      <c r="H46" s="263">
        <f t="shared" si="15"/>
        <v>63946064</v>
      </c>
      <c r="I46" s="263">
        <f t="shared" si="15"/>
        <v>78148212</v>
      </c>
      <c r="J46" s="263">
        <f t="shared" si="15"/>
        <v>81287072</v>
      </c>
      <c r="K46" s="263">
        <f t="shared" si="15"/>
        <v>-4334726</v>
      </c>
      <c r="L46" s="263">
        <f t="shared" si="15"/>
        <v>75952234</v>
      </c>
      <c r="M46" s="263">
        <f t="shared" si="15"/>
        <v>76959344</v>
      </c>
      <c r="N46" s="263">
        <f t="shared" si="15"/>
        <v>78602093</v>
      </c>
      <c r="O46" s="263">
        <f t="shared" si="15"/>
        <v>82565591</v>
      </c>
      <c r="P46" s="263">
        <f t="shared" si="15"/>
        <v>67106682</v>
      </c>
    </row>
    <row r="47" spans="1:17" x14ac:dyDescent="0.3">
      <c r="A47" t="str">
        <f>"Sales Proceeds"&amp;TEXT('Building Analysis'!$D$5," - 0.00%")&amp;" Exit Cap Rate"</f>
        <v>Sales Proceeds - 7.00% Exit Cap Rate</v>
      </c>
      <c r="C47" s="260"/>
      <c r="E47" s="265">
        <f>IF(E3='Building Analysis'!$D$6,'Building Analysis'!$I$11,0)</f>
        <v>0</v>
      </c>
      <c r="F47" s="266">
        <f>IF(F3='Building Analysis'!$D$6,'Building Analysis'!$I$11,0)</f>
        <v>0</v>
      </c>
      <c r="G47" s="266">
        <f>IF(G3='Building Analysis'!$D$6,'Building Analysis'!$I$11,0)</f>
        <v>0</v>
      </c>
      <c r="H47" s="266">
        <f>IF(H3='Building Analysis'!$D$6,'Building Analysis'!$I$11,0)</f>
        <v>0</v>
      </c>
      <c r="I47" s="266">
        <f>IF(I3='Building Analysis'!$D$6,'Building Analysis'!$I$11,0)</f>
        <v>0</v>
      </c>
      <c r="J47" s="266">
        <f>IF(J3='Building Analysis'!$D$6,'Building Analysis'!$I$11,0)</f>
        <v>0</v>
      </c>
      <c r="K47" s="266">
        <f>IF(K3='Building Analysis'!$D$6,'Building Analysis'!$I$11,0)</f>
        <v>0</v>
      </c>
      <c r="L47" s="266">
        <f>IF(L3='Building Analysis'!$D$6,'Building Analysis'!$I$11,0)</f>
        <v>0</v>
      </c>
      <c r="M47" s="266">
        <f>IF(M3='Building Analysis'!$D$6,'Building Analysis'!$I$11,0)</f>
        <v>0</v>
      </c>
      <c r="N47" s="266">
        <f>IF(N3='Building Analysis'!$D$6,'Building Analysis'!$I$11,0)</f>
        <v>0</v>
      </c>
      <c r="O47" s="266">
        <f>IF(O3='Building Analysis'!$D$6,'Building Analysis'!$I$11,0)</f>
        <v>1077076375.1999998</v>
      </c>
      <c r="P47" s="266">
        <f>IF(P3='Building Analysis'!$D$6,'Building Analysis'!$I$11,0)</f>
        <v>0</v>
      </c>
    </row>
    <row r="48" spans="1:17" ht="15" thickBot="1" x14ac:dyDescent="0.35">
      <c r="C48" s="267"/>
      <c r="E48" s="268"/>
      <c r="F48" s="269"/>
      <c r="G48" s="269"/>
      <c r="H48" s="269"/>
      <c r="I48" s="269"/>
      <c r="J48" s="269"/>
      <c r="K48" s="269"/>
      <c r="L48" s="269"/>
      <c r="M48" s="269"/>
      <c r="N48" s="269"/>
      <c r="O48" s="269"/>
      <c r="P48" s="269"/>
    </row>
    <row r="49" spans="1:16" ht="15" thickBot="1" x14ac:dyDescent="0.35">
      <c r="A49" s="37" t="s">
        <v>141</v>
      </c>
      <c r="B49" s="37"/>
      <c r="C49" s="95">
        <f t="shared" ref="C49" si="16">F49/$A$2/12</f>
        <v>0.72081776934643182</v>
      </c>
      <c r="D49" s="37"/>
      <c r="E49" s="72">
        <f>SUM(E46:E47)*(E3&lt;='Building Analysis'!$D$6)</f>
        <v>-904283329</v>
      </c>
      <c r="F49" s="73">
        <f>SUM(F46:F47)*(F3&lt;='Building Analysis'!$D$6)</f>
        <v>24293580</v>
      </c>
      <c r="G49" s="73">
        <f>SUM(G46:G47)*(G3&lt;='Building Analysis'!$D$6)</f>
        <v>46326241</v>
      </c>
      <c r="H49" s="73">
        <f>SUM(H46:H47)*(H3&lt;='Building Analysis'!$D$6)</f>
        <v>63946064</v>
      </c>
      <c r="I49" s="73">
        <f>SUM(I46:I47)*(I3&lt;='Building Analysis'!$D$6)</f>
        <v>78148212</v>
      </c>
      <c r="J49" s="73">
        <f>SUM(J46:J47)*(J3&lt;='Building Analysis'!$D$6)</f>
        <v>81287072</v>
      </c>
      <c r="K49" s="73">
        <f>SUM(K46:K47)*(K3&lt;='Building Analysis'!$D$6)</f>
        <v>-4334726</v>
      </c>
      <c r="L49" s="73">
        <f>SUM(L46:L47)*(L3&lt;='Building Analysis'!$D$6)</f>
        <v>75952234</v>
      </c>
      <c r="M49" s="73">
        <f>SUM(M46:M47)*(M3&lt;='Building Analysis'!$D$6)</f>
        <v>76959344</v>
      </c>
      <c r="N49" s="73">
        <f>SUM(N46:N47)*(N3&lt;='Building Analysis'!$D$6)</f>
        <v>78602093</v>
      </c>
      <c r="O49" s="73">
        <f>SUM(O46:O47)*(O3&lt;='Building Analysis'!$D$6)</f>
        <v>1159641966.1999998</v>
      </c>
      <c r="P49" s="73">
        <f>SUM(P46:P47)*(P3&lt;='Building Analysis'!$D$6)</f>
        <v>0</v>
      </c>
    </row>
    <row r="50" spans="1:16" x14ac:dyDescent="0.3">
      <c r="C50" s="260"/>
      <c r="E50" s="263"/>
      <c r="F50" s="262"/>
      <c r="G50" s="262"/>
      <c r="H50" s="262"/>
      <c r="I50" s="262"/>
      <c r="J50" s="262"/>
      <c r="K50" s="262"/>
      <c r="L50" s="262"/>
      <c r="M50" s="262"/>
      <c r="N50" s="262"/>
      <c r="O50" s="262"/>
      <c r="P50" s="262"/>
    </row>
    <row r="51" spans="1:16" x14ac:dyDescent="0.3">
      <c r="A51" s="37" t="s">
        <v>142</v>
      </c>
      <c r="C51" s="260"/>
      <c r="E51" s="263"/>
      <c r="F51" s="262"/>
      <c r="G51" s="262"/>
      <c r="H51" s="262"/>
      <c r="I51" s="262"/>
      <c r="J51" s="262"/>
      <c r="K51" s="262"/>
      <c r="L51" s="262"/>
      <c r="M51" s="262"/>
      <c r="N51" s="262"/>
      <c r="O51" s="262"/>
      <c r="P51" s="262"/>
    </row>
    <row r="52" spans="1:16" x14ac:dyDescent="0.3">
      <c r="A52" t="s">
        <v>153</v>
      </c>
      <c r="C52" s="260"/>
      <c r="E52" s="263">
        <f>'Building Analysis'!D12</f>
        <v>0</v>
      </c>
      <c r="F52" s="262"/>
      <c r="G52" s="262"/>
      <c r="H52" s="262"/>
      <c r="I52" s="262"/>
      <c r="J52" s="262"/>
      <c r="K52" s="262"/>
      <c r="L52" s="262"/>
      <c r="M52" s="262"/>
      <c r="N52" s="262"/>
      <c r="O52" s="262"/>
      <c r="P52" s="262"/>
    </row>
    <row r="53" spans="1:16" x14ac:dyDescent="0.3">
      <c r="A53" t="s">
        <v>143</v>
      </c>
      <c r="C53" s="260">
        <f t="shared" ref="C53" si="17">F53/$A$2/12</f>
        <v>-2.2215464487920573</v>
      </c>
      <c r="E53" s="263">
        <f>-SUMIF('Loan Amortization'!$K$27:$K$56,E$3,'Loan Amortization'!$M$27:$M$56)</f>
        <v>0</v>
      </c>
      <c r="F53" s="262">
        <f>-SUMIF('Loan Amortization'!$K$27:$K$56,F$3,'Loan Amortization'!$M$27:$M$56)</f>
        <v>-74872344.54053475</v>
      </c>
      <c r="G53" s="262">
        <f>-SUMIF('Loan Amortization'!$K$27:$K$56,G$3,'Loan Amortization'!$M$27:$M$56)</f>
        <v>-74872344.54053475</v>
      </c>
      <c r="H53" s="262">
        <f>-SUMIF('Loan Amortization'!$K$27:$K$56,H$3,'Loan Amortization'!$M$27:$M$56)</f>
        <v>-74872344.54053475</v>
      </c>
      <c r="I53" s="262">
        <f>-SUMIF('Loan Amortization'!$K$27:$K$56,I$3,'Loan Amortization'!$M$27:$M$56)</f>
        <v>-74528146.883737117</v>
      </c>
      <c r="J53" s="262">
        <f>-SUMIF('Loan Amortization'!$K$27:$K$56,J$3,'Loan Amortization'!$M$27:$M$56)</f>
        <v>-73742704.17203027</v>
      </c>
      <c r="K53" s="262">
        <f>-SUMIF('Loan Amortization'!$K$27:$K$56,K$3,'Loan Amortization'!$M$27:$M$56)</f>
        <v>-72900481.743186221</v>
      </c>
      <c r="L53" s="262">
        <f>-SUMIF('Loan Amortization'!$K$27:$K$56,L$3,'Loan Amortization'!$M$27:$M$56)</f>
        <v>-71997374.986862093</v>
      </c>
      <c r="M53" s="262">
        <f>-SUMIF('Loan Amortization'!$K$27:$K$56,M$3,'Loan Amortization'!$M$27:$M$56)</f>
        <v>-71028982.5701015</v>
      </c>
      <c r="N53" s="262">
        <f>-SUMIF('Loan Amortization'!$K$27:$K$56,N$3,'Loan Amortization'!$M$27:$M$56)</f>
        <v>-69990584.9872327</v>
      </c>
      <c r="O53" s="262">
        <f>-SUMIF('Loan Amortization'!$K$27:$K$56,O$3,'Loan Amortization'!$M$27:$M$56)</f>
        <v>-68877121.559137404</v>
      </c>
      <c r="P53" s="262">
        <f>-SUMIF('Loan Amortization'!$K$27:$K$56,P$3,'Loan Amortization'!$M$27:$M$56)</f>
        <v>0</v>
      </c>
    </row>
    <row r="54" spans="1:16" x14ac:dyDescent="0.3">
      <c r="A54" t="s">
        <v>144</v>
      </c>
      <c r="C54" s="260">
        <f>F54/$A$2/12</f>
        <v>0</v>
      </c>
      <c r="E54" s="263">
        <f>-SUMIF('Loan Amortization'!$K$27:$K$56,E$3,'Loan Amortization'!$N$27:$N$56)</f>
        <v>0</v>
      </c>
      <c r="F54" s="262">
        <f>-SUMIF('Loan Amortization'!$K$27:$K$56,F$3,'Loan Amortization'!$N$27:$N$56)</f>
        <v>0</v>
      </c>
      <c r="G54" s="262">
        <f>-SUMIF('Loan Amortization'!$K$27:$K$56,G$3,'Loan Amortization'!$N$27:$N$56)</f>
        <v>0</v>
      </c>
      <c r="H54" s="262">
        <f>-SUMIF('Loan Amortization'!$K$27:$K$56,H$3,'Loan Amortization'!$N$27:$N$56)</f>
        <v>0</v>
      </c>
      <c r="I54" s="262">
        <f>-SUMIF('Loan Amortization'!$K$27:$K$56,I$3,'Loan Amortization'!$N$27:$N$56)</f>
        <v>-10865151.93237705</v>
      </c>
      <c r="J54" s="262">
        <f>-SUMIF('Loan Amortization'!$K$27:$K$56,J$3,'Loan Amortization'!$N$27:$N$56)</f>
        <v>-11650594.644083872</v>
      </c>
      <c r="K54" s="262">
        <f>-SUMIF('Loan Amortization'!$K$27:$K$56,K$3,'Loan Amortization'!$N$27:$N$56)</f>
        <v>-12492817.072927926</v>
      </c>
      <c r="L54" s="262">
        <f>-SUMIF('Loan Amortization'!$K$27:$K$56,L$3,'Loan Amortization'!$N$27:$N$56)</f>
        <v>-13395923.829252061</v>
      </c>
      <c r="M54" s="262">
        <f>-SUMIF('Loan Amortization'!$K$27:$K$56,M$3,'Loan Amortization'!$N$27:$N$56)</f>
        <v>-14364316.246012663</v>
      </c>
      <c r="N54" s="262">
        <f>-SUMIF('Loan Amortization'!$K$27:$K$56,N$3,'Loan Amortization'!$N$27:$N$56)</f>
        <v>-15402713.828881457</v>
      </c>
      <c r="O54" s="262">
        <f>-SUMIF('Loan Amortization'!$K$27:$K$56,O$3,'Loan Amortization'!$N$27:$N$56)</f>
        <v>-16516177.256976757</v>
      </c>
      <c r="P54" s="262">
        <f>-SUMIF('Loan Amortization'!$K$27:$K$56,P$3,'Loan Amortization'!$N$27:$N$56)</f>
        <v>0</v>
      </c>
    </row>
    <row r="55" spans="1:16" ht="15" thickBot="1" x14ac:dyDescent="0.35">
      <c r="A55" t="s">
        <v>154</v>
      </c>
      <c r="C55" s="260"/>
      <c r="E55" s="268">
        <f>-IF(E3='Building Analysis'!$D$6,SUM('Loan Amortization'!$F$27:$F$386),0)</f>
        <v>0</v>
      </c>
      <c r="F55" s="269">
        <f>-IF(F3='Building Analysis'!$D$6,SUM('Loan Amortization'!$F$27:$F$386),0)</f>
        <v>0</v>
      </c>
      <c r="G55" s="269">
        <f>-IF(G3='Building Analysis'!$D$6,SUM('Loan Amortization'!$F$27:$F$386),0)</f>
        <v>0</v>
      </c>
      <c r="H55" s="269">
        <f>-IF(H3='Building Analysis'!$D$6,SUM('Loan Amortization'!$F$27:$F$386),0)</f>
        <v>0</v>
      </c>
      <c r="I55" s="269">
        <f>-IF(I3='Building Analysis'!$D$6,SUM('Loan Amortization'!$F$27:$F$386),0)</f>
        <v>0</v>
      </c>
      <c r="J55" s="269">
        <f>-IF(J3='Building Analysis'!$D$6,SUM('Loan Amortization'!$F$27:$F$386),0)</f>
        <v>0</v>
      </c>
      <c r="K55" s="269">
        <f>-IF(K3='Building Analysis'!$D$6,SUM('Loan Amortization'!$F$27:$F$386),0)</f>
        <v>0</v>
      </c>
      <c r="L55" s="269">
        <f>-IF(L3='Building Analysis'!$D$6,SUM('Loan Amortization'!$F$27:$F$386),0)</f>
        <v>0</v>
      </c>
      <c r="M55" s="269">
        <f>-IF(M3='Building Analysis'!$D$6,SUM('Loan Amortization'!$F$27:$F$386),0)</f>
        <v>0</v>
      </c>
      <c r="N55" s="269">
        <f>-IF(N3='Building Analysis'!$D$6,SUM('Loan Amortization'!$F$27:$F$386),0)</f>
        <v>0</v>
      </c>
      <c r="O55" s="269">
        <f>-IF(O3='Building Analysis'!$D$6,SUM('Loan Amortization'!$F$27:$F$386),0)</f>
        <v>-974917227.19712722</v>
      </c>
      <c r="P55" s="269">
        <f>-IF(P3='Building Analysis'!$D$6,SUM('Loan Amortization'!$F$27:$F$386),0)</f>
        <v>0</v>
      </c>
    </row>
    <row r="56" spans="1:16" s="37" customFormat="1" x14ac:dyDescent="0.3">
      <c r="A56" s="37" t="s">
        <v>155</v>
      </c>
      <c r="C56" s="93"/>
      <c r="E56" s="68">
        <f>SUM(E52:E55)</f>
        <v>0</v>
      </c>
      <c r="F56" s="68">
        <f t="shared" ref="F56:P56" si="18">SUM(F52:F55)</f>
        <v>-74872344.54053475</v>
      </c>
      <c r="G56" s="68">
        <f t="shared" si="18"/>
        <v>-74872344.54053475</v>
      </c>
      <c r="H56" s="68">
        <f t="shared" si="18"/>
        <v>-74872344.54053475</v>
      </c>
      <c r="I56" s="68">
        <f t="shared" si="18"/>
        <v>-85393298.816114172</v>
      </c>
      <c r="J56" s="68">
        <f t="shared" si="18"/>
        <v>-85393298.816114143</v>
      </c>
      <c r="K56" s="68">
        <f t="shared" si="18"/>
        <v>-85393298.816114143</v>
      </c>
      <c r="L56" s="68">
        <f t="shared" si="18"/>
        <v>-85393298.816114157</v>
      </c>
      <c r="M56" s="68">
        <f t="shared" si="18"/>
        <v>-85393298.816114157</v>
      </c>
      <c r="N56" s="68">
        <f t="shared" si="18"/>
        <v>-85393298.816114157</v>
      </c>
      <c r="O56" s="68">
        <f t="shared" si="18"/>
        <v>-1060310526.0132414</v>
      </c>
      <c r="P56" s="68">
        <f t="shared" si="18"/>
        <v>0</v>
      </c>
    </row>
    <row r="57" spans="1:16" s="37" customFormat="1" ht="15" thickBot="1" x14ac:dyDescent="0.35">
      <c r="A57"/>
      <c r="C57" s="95"/>
      <c r="E57" s="72"/>
      <c r="F57" s="72"/>
      <c r="G57" s="72"/>
      <c r="H57" s="72"/>
      <c r="I57" s="72"/>
      <c r="J57" s="72"/>
      <c r="K57" s="72"/>
      <c r="L57" s="72"/>
      <c r="M57" s="72"/>
      <c r="N57" s="72"/>
      <c r="O57" s="72"/>
      <c r="P57" s="72"/>
    </row>
    <row r="58" spans="1:16" ht="15" thickBot="1" x14ac:dyDescent="0.35">
      <c r="A58" s="37" t="s">
        <v>145</v>
      </c>
      <c r="B58" s="37"/>
      <c r="C58" s="95"/>
      <c r="D58" s="37"/>
      <c r="E58" s="72">
        <f>(E49+E56)*(E3&lt;='Building Analysis'!$D$6)</f>
        <v>-904283329</v>
      </c>
      <c r="F58" s="73">
        <f>(F49+F56)*(F3&lt;='Building Analysis'!$D$6)</f>
        <v>-50578764.54053475</v>
      </c>
      <c r="G58" s="73">
        <f>(G49+G56)*(G3&lt;='Building Analysis'!$D$6)</f>
        <v>-28546103.54053475</v>
      </c>
      <c r="H58" s="73">
        <f>(H49+H56)*(H3&lt;='Building Analysis'!$D$6)</f>
        <v>-10926280.54053475</v>
      </c>
      <c r="I58" s="73">
        <f>(I49+I56)*(I3&lt;='Building Analysis'!$D$6)</f>
        <v>-7245086.8161141723</v>
      </c>
      <c r="J58" s="73">
        <f>(J49+J56)*(J3&lt;='Building Analysis'!$D$6)</f>
        <v>-4106226.8161141425</v>
      </c>
      <c r="K58" s="73">
        <f>(K49+K56)*(K3&lt;='Building Analysis'!$D$6)</f>
        <v>-89728024.816114143</v>
      </c>
      <c r="L58" s="73">
        <f>(L49+L56)*(L3&lt;='Building Analysis'!$D$6)</f>
        <v>-9441064.8161141574</v>
      </c>
      <c r="M58" s="73">
        <f>(M49+M56)*(M3&lt;='Building Analysis'!$D$6)</f>
        <v>-8433954.8161141574</v>
      </c>
      <c r="N58" s="73">
        <f>(N49+N56)*(N3&lt;='Building Analysis'!$D$6)</f>
        <v>-6791205.8161141574</v>
      </c>
      <c r="O58" s="73">
        <f>(O49+O56)*(O3&lt;='Building Analysis'!$D$6)</f>
        <v>99331440.186758399</v>
      </c>
      <c r="P58" s="73">
        <f>(P49+P56)*(P3&lt;='Building Analysis'!$D$6)</f>
        <v>0</v>
      </c>
    </row>
    <row r="59" spans="1:16" x14ac:dyDescent="0.3">
      <c r="C59" s="270"/>
      <c r="E59" s="263"/>
      <c r="F59" s="262"/>
      <c r="G59" s="262"/>
      <c r="H59" s="262"/>
      <c r="I59" s="262"/>
      <c r="J59" s="262"/>
      <c r="K59" s="262"/>
      <c r="L59" s="262"/>
      <c r="M59" s="262"/>
      <c r="N59" s="262"/>
      <c r="O59" s="262"/>
      <c r="P59" s="262"/>
    </row>
    <row r="60" spans="1:16" ht="15" thickBot="1" x14ac:dyDescent="0.35">
      <c r="E60" s="263"/>
      <c r="F60" s="262"/>
      <c r="G60" s="262"/>
      <c r="H60" s="262"/>
      <c r="I60" s="262"/>
      <c r="J60" s="262"/>
      <c r="K60" s="262"/>
      <c r="L60" s="262"/>
      <c r="M60" s="262"/>
      <c r="N60" s="262"/>
      <c r="O60" s="262"/>
      <c r="P60" s="262"/>
    </row>
    <row r="61" spans="1:16" x14ac:dyDescent="0.3">
      <c r="A61" s="113" t="s">
        <v>176</v>
      </c>
      <c r="B61" s="271"/>
      <c r="C61" s="272"/>
      <c r="E61" s="263"/>
      <c r="F61" s="263"/>
      <c r="G61" s="263"/>
      <c r="H61" s="263"/>
      <c r="I61" s="263"/>
      <c r="J61" s="263"/>
      <c r="K61" s="263"/>
      <c r="L61" s="263"/>
      <c r="M61" s="263"/>
      <c r="N61" s="263"/>
      <c r="O61" s="263"/>
      <c r="P61" s="263"/>
    </row>
    <row r="62" spans="1:16" x14ac:dyDescent="0.3">
      <c r="A62" s="273" t="s">
        <v>217</v>
      </c>
      <c r="C62" s="274">
        <f>SUMIF($E$49:$P$49,"&gt;0",$E$49:$P$49)+SUMIF($E$49:$P$49,"&lt;0",$E$49:$P$49)</f>
        <v>776538751.19999981</v>
      </c>
      <c r="E62" s="263"/>
      <c r="F62" s="262"/>
      <c r="G62" s="262"/>
      <c r="H62" s="262"/>
      <c r="I62" s="262"/>
      <c r="J62" s="262"/>
      <c r="K62" s="262"/>
      <c r="L62" s="262"/>
      <c r="M62" s="262"/>
      <c r="N62" s="262"/>
      <c r="O62" s="262"/>
      <c r="P62" s="262"/>
    </row>
    <row r="63" spans="1:16" x14ac:dyDescent="0.3">
      <c r="A63" s="273" t="s">
        <v>215</v>
      </c>
      <c r="C63" s="277">
        <f>IRR(E49:P49)</f>
        <v>7.7164619954761537E-2</v>
      </c>
      <c r="E63" s="417"/>
      <c r="F63" s="262"/>
      <c r="G63" s="262"/>
      <c r="H63" s="262"/>
      <c r="I63" s="262"/>
      <c r="J63" s="262"/>
      <c r="K63" s="262"/>
      <c r="L63" s="262"/>
      <c r="M63" s="262"/>
      <c r="N63" s="262"/>
      <c r="O63" s="262"/>
      <c r="P63" s="262"/>
    </row>
    <row r="64" spans="1:16" x14ac:dyDescent="0.3">
      <c r="A64" s="275" t="s">
        <v>216</v>
      </c>
      <c r="B64" s="254"/>
      <c r="C64" s="276">
        <f>SUMIF(E49:P49,"&gt;"&amp;0,E49:P49)/-SUMIF(E49:P49,"&lt;"&amp;0,E49:P49)</f>
        <v>1.8546371568634521</v>
      </c>
      <c r="E64" s="263"/>
      <c r="F64" s="262"/>
      <c r="G64" s="262"/>
      <c r="H64" s="262"/>
      <c r="I64" s="262"/>
      <c r="J64" s="262"/>
      <c r="K64" s="262"/>
      <c r="L64" s="262"/>
      <c r="M64" s="262"/>
      <c r="N64" s="262"/>
      <c r="O64" s="262"/>
      <c r="P64" s="262"/>
    </row>
    <row r="65" spans="1:16" x14ac:dyDescent="0.3">
      <c r="A65" s="273" t="s">
        <v>217</v>
      </c>
      <c r="C65" s="274">
        <f>SUMIF($E$58:$P$58,"&gt;0",$E$58:$P$58)+SUMIF($E$58:$P$58,"&lt;0",$E$58:$P$58)</f>
        <v>-1020748601.3315309</v>
      </c>
      <c r="E65" s="263"/>
      <c r="F65" s="262"/>
      <c r="G65" s="262"/>
      <c r="H65" s="262"/>
      <c r="I65" s="262"/>
      <c r="J65" s="262"/>
      <c r="K65" s="262"/>
      <c r="L65" s="262"/>
      <c r="M65" s="262"/>
      <c r="N65" s="262"/>
      <c r="O65" s="262"/>
      <c r="P65" s="262"/>
    </row>
    <row r="66" spans="1:16" x14ac:dyDescent="0.3">
      <c r="A66" s="273" t="s">
        <v>215</v>
      </c>
      <c r="C66" s="277">
        <f>IRR(E58:P58)</f>
        <v>-0.25439609396904272</v>
      </c>
      <c r="E66" s="263"/>
      <c r="F66" s="262"/>
      <c r="G66" s="262"/>
      <c r="H66" s="262"/>
      <c r="I66" s="262"/>
      <c r="J66" s="262"/>
      <c r="K66" s="262"/>
      <c r="L66" s="262"/>
      <c r="M66" s="262"/>
      <c r="N66" s="262"/>
      <c r="O66" s="262"/>
      <c r="P66" s="262"/>
    </row>
    <row r="67" spans="1:16" ht="15" thickBot="1" x14ac:dyDescent="0.35">
      <c r="A67" s="278" t="s">
        <v>216</v>
      </c>
      <c r="B67" s="279"/>
      <c r="C67" s="280">
        <f>SUMIF(E58:P58,"&gt;"&amp;0,E58:P58)/-SUMIF(E58:P58,"&lt;"&amp;0,E58:P58)</f>
        <v>8.8682448133003772E-2</v>
      </c>
      <c r="E67" s="263"/>
      <c r="F67" s="262"/>
      <c r="G67" s="262"/>
      <c r="H67" s="262"/>
      <c r="I67" s="262"/>
      <c r="J67" s="262"/>
      <c r="K67" s="262"/>
      <c r="L67" s="262"/>
      <c r="M67" s="262"/>
      <c r="N67" s="262"/>
      <c r="O67" s="262"/>
      <c r="P67" s="262"/>
    </row>
    <row r="68" spans="1:16" x14ac:dyDescent="0.3">
      <c r="C68" s="270"/>
      <c r="E68" s="263"/>
      <c r="F68" s="262"/>
      <c r="G68" s="262"/>
      <c r="H68" s="262"/>
      <c r="I68" s="262"/>
      <c r="J68" s="262"/>
      <c r="K68" s="262"/>
      <c r="L68" s="262"/>
      <c r="M68" s="262"/>
      <c r="N68" s="262"/>
      <c r="O68" s="262"/>
      <c r="P68" s="262"/>
    </row>
    <row r="69" spans="1:16" x14ac:dyDescent="0.3">
      <c r="C69" s="421"/>
      <c r="E69" s="263"/>
      <c r="F69" s="262"/>
      <c r="G69" s="262"/>
      <c r="H69" s="262"/>
      <c r="I69" s="262"/>
      <c r="J69" s="262"/>
      <c r="K69" s="262"/>
      <c r="L69" s="262"/>
      <c r="M69" s="262"/>
      <c r="N69" s="262"/>
      <c r="O69" s="262"/>
      <c r="P69" s="262"/>
    </row>
    <row r="70" spans="1:16" x14ac:dyDescent="0.3">
      <c r="C70" s="421"/>
      <c r="E70" s="263"/>
      <c r="F70" s="262"/>
      <c r="G70" s="262"/>
      <c r="H70" s="262"/>
      <c r="I70" s="262"/>
      <c r="J70" s="262"/>
      <c r="K70" s="262"/>
      <c r="L70" s="262"/>
      <c r="M70" s="262"/>
      <c r="N70" s="262"/>
      <c r="O70" s="262"/>
      <c r="P70" s="262"/>
    </row>
    <row r="71" spans="1:16" x14ac:dyDescent="0.3">
      <c r="C71" s="270"/>
      <c r="E71" s="259"/>
      <c r="F71" s="193"/>
      <c r="G71" s="193"/>
      <c r="H71" s="193"/>
      <c r="I71" s="193"/>
      <c r="J71" s="193"/>
      <c r="K71" s="193"/>
      <c r="L71" s="193"/>
      <c r="M71" s="193"/>
      <c r="N71" s="193"/>
      <c r="O71" s="193"/>
      <c r="P71" s="193"/>
    </row>
    <row r="72" spans="1:16" x14ac:dyDescent="0.3">
      <c r="C72" s="421"/>
      <c r="E72" s="259"/>
      <c r="F72" s="193"/>
      <c r="G72" s="193"/>
      <c r="H72" s="193"/>
      <c r="I72" s="193"/>
      <c r="J72" s="193"/>
      <c r="K72" s="193"/>
      <c r="L72" s="193"/>
      <c r="M72" s="193"/>
      <c r="N72" s="193"/>
      <c r="O72" s="193"/>
      <c r="P72" s="193"/>
    </row>
    <row r="73" spans="1:16" x14ac:dyDescent="0.3">
      <c r="C73" s="270"/>
      <c r="E73" s="259"/>
      <c r="F73" s="193"/>
      <c r="G73" s="193"/>
      <c r="H73" s="193"/>
      <c r="I73" s="193"/>
      <c r="J73" s="193"/>
      <c r="K73" s="193"/>
      <c r="L73" s="193"/>
      <c r="M73" s="193"/>
      <c r="N73" s="193"/>
      <c r="O73" s="193"/>
      <c r="P73" s="193"/>
    </row>
    <row r="74" spans="1:16" x14ac:dyDescent="0.3">
      <c r="C74" s="270"/>
      <c r="E74" s="259"/>
      <c r="F74" s="193"/>
      <c r="G74" s="193"/>
      <c r="H74" s="193"/>
      <c r="I74" s="193"/>
      <c r="J74" s="193"/>
      <c r="K74" s="193"/>
      <c r="L74" s="193"/>
      <c r="M74" s="193"/>
      <c r="N74" s="193"/>
      <c r="O74" s="193"/>
      <c r="P74" s="193"/>
    </row>
    <row r="75" spans="1:16" x14ac:dyDescent="0.3">
      <c r="C75" s="270"/>
      <c r="E75" s="259"/>
      <c r="F75" s="193"/>
      <c r="G75" s="193"/>
      <c r="H75" s="193"/>
      <c r="I75" s="193"/>
      <c r="J75" s="193"/>
      <c r="K75" s="193"/>
      <c r="L75" s="193"/>
      <c r="M75" s="193"/>
      <c r="N75" s="193"/>
      <c r="O75" s="193"/>
      <c r="P75" s="193"/>
    </row>
    <row r="76" spans="1:16" x14ac:dyDescent="0.3">
      <c r="C76" s="270"/>
      <c r="E76" s="259"/>
      <c r="F76" s="193"/>
      <c r="G76" s="193"/>
      <c r="H76" s="193"/>
      <c r="I76" s="193"/>
      <c r="J76" s="193"/>
      <c r="K76" s="193"/>
      <c r="L76" s="193"/>
      <c r="M76" s="193"/>
      <c r="N76" s="193"/>
      <c r="O76" s="193"/>
      <c r="P76" s="193"/>
    </row>
    <row r="77" spans="1:16" x14ac:dyDescent="0.3">
      <c r="C77" s="270"/>
      <c r="E77" s="259"/>
      <c r="F77" s="193"/>
      <c r="G77" s="193"/>
      <c r="H77" s="193"/>
      <c r="I77" s="193"/>
      <c r="J77" s="193"/>
      <c r="K77" s="193"/>
      <c r="L77" s="193"/>
      <c r="M77" s="193"/>
      <c r="N77" s="193"/>
      <c r="O77" s="193"/>
      <c r="P77" s="193"/>
    </row>
    <row r="78" spans="1:16" x14ac:dyDescent="0.3">
      <c r="C78" s="270"/>
      <c r="E78" s="259"/>
      <c r="F78" s="193"/>
      <c r="G78" s="193"/>
      <c r="H78" s="193"/>
      <c r="I78" s="193"/>
      <c r="J78" s="193"/>
      <c r="K78" s="193"/>
      <c r="L78" s="193"/>
      <c r="M78" s="193"/>
      <c r="N78" s="193"/>
      <c r="O78" s="193"/>
      <c r="P78" s="193"/>
    </row>
    <row r="79" spans="1:16" x14ac:dyDescent="0.3">
      <c r="C79" s="270"/>
      <c r="E79" s="259"/>
      <c r="F79" s="193"/>
      <c r="G79" s="193"/>
      <c r="H79" s="193"/>
      <c r="I79" s="193"/>
      <c r="J79" s="193"/>
      <c r="K79" s="193"/>
      <c r="L79" s="193"/>
      <c r="M79" s="193"/>
      <c r="N79" s="193"/>
      <c r="O79" s="193"/>
      <c r="P79" s="193"/>
    </row>
    <row r="80" spans="1:16" x14ac:dyDescent="0.3">
      <c r="C80" s="270"/>
      <c r="E80" s="259"/>
      <c r="F80" s="193"/>
      <c r="G80" s="193"/>
      <c r="H80" s="193"/>
      <c r="I80" s="193"/>
      <c r="J80" s="193"/>
      <c r="K80" s="193"/>
      <c r="L80" s="193"/>
      <c r="M80" s="193"/>
      <c r="N80" s="193"/>
      <c r="O80" s="193"/>
      <c r="P80" s="193"/>
    </row>
    <row r="81" spans="3:25" x14ac:dyDescent="0.3">
      <c r="C81" s="270"/>
      <c r="E81" s="259"/>
      <c r="F81" s="193"/>
      <c r="G81" s="193"/>
      <c r="H81" s="193"/>
      <c r="I81" s="193"/>
      <c r="J81" s="193"/>
      <c r="K81" s="193"/>
      <c r="L81" s="193"/>
      <c r="M81" s="193"/>
      <c r="N81" s="193"/>
      <c r="O81" s="193"/>
      <c r="P81" s="193"/>
    </row>
    <row r="82" spans="3:25" x14ac:dyDescent="0.3">
      <c r="C82" s="270"/>
      <c r="E82" s="259"/>
      <c r="F82" s="193"/>
      <c r="G82" s="193"/>
      <c r="H82" s="193"/>
      <c r="I82" s="193"/>
      <c r="J82" s="193"/>
      <c r="K82" s="193"/>
      <c r="L82" s="193"/>
      <c r="M82" s="193"/>
      <c r="N82" s="193"/>
      <c r="O82" s="193"/>
      <c r="P82" s="193"/>
    </row>
    <row r="83" spans="3:25" x14ac:dyDescent="0.3">
      <c r="C83" s="270"/>
      <c r="E83" s="259"/>
      <c r="F83" s="193"/>
      <c r="G83" s="193"/>
      <c r="H83" s="193"/>
      <c r="I83" s="193"/>
      <c r="J83" s="193"/>
      <c r="K83" s="193"/>
      <c r="L83" s="193"/>
      <c r="M83" s="193"/>
      <c r="N83" s="193"/>
      <c r="O83" s="193"/>
      <c r="P83" s="193"/>
    </row>
    <row r="84" spans="3:25" x14ac:dyDescent="0.3">
      <c r="C84" s="270"/>
      <c r="E84" s="259"/>
      <c r="F84" s="193"/>
      <c r="G84" s="193"/>
      <c r="H84" s="193"/>
      <c r="I84" s="193"/>
      <c r="J84" s="193"/>
      <c r="K84" s="193"/>
      <c r="L84" s="193"/>
      <c r="M84" s="193"/>
      <c r="N84" s="193"/>
      <c r="O84" s="193"/>
      <c r="P84" s="193"/>
    </row>
    <row r="85" spans="3:25" x14ac:dyDescent="0.3">
      <c r="C85" s="270"/>
      <c r="E85" s="259"/>
      <c r="F85" s="193"/>
      <c r="G85" s="193"/>
      <c r="H85" s="193"/>
      <c r="I85" s="193"/>
      <c r="J85" s="193"/>
      <c r="K85" s="193"/>
      <c r="L85" s="193"/>
      <c r="M85" s="193"/>
      <c r="N85" s="193"/>
      <c r="O85" s="193"/>
      <c r="P85" s="193"/>
    </row>
    <row r="86" spans="3:25" x14ac:dyDescent="0.3">
      <c r="C86" s="270"/>
      <c r="E86" s="259"/>
      <c r="F86" s="193"/>
      <c r="G86" s="193"/>
      <c r="H86" s="193"/>
      <c r="I86" s="193"/>
      <c r="J86" s="193"/>
      <c r="K86" s="193"/>
      <c r="L86" s="193"/>
      <c r="M86" s="193"/>
      <c r="N86" s="193"/>
      <c r="O86" s="193"/>
      <c r="P86" s="193"/>
    </row>
    <row r="87" spans="3:25" x14ac:dyDescent="0.3">
      <c r="C87" s="270"/>
      <c r="E87" s="259"/>
      <c r="F87" s="193"/>
      <c r="G87" s="193"/>
      <c r="H87" s="193"/>
      <c r="I87" s="193"/>
      <c r="J87" s="193"/>
      <c r="K87" s="193"/>
      <c r="L87" s="193"/>
      <c r="M87" s="193"/>
      <c r="N87" s="193"/>
      <c r="O87" s="193"/>
      <c r="P87" s="193"/>
    </row>
    <row r="88" spans="3:25" x14ac:dyDescent="0.3">
      <c r="C88" s="270"/>
      <c r="E88" s="259"/>
      <c r="F88" s="193"/>
      <c r="G88" s="193"/>
      <c r="H88" s="193"/>
      <c r="I88" s="193"/>
      <c r="J88" s="193"/>
      <c r="K88" s="193"/>
      <c r="L88" s="193"/>
      <c r="M88" s="193"/>
      <c r="N88" s="193"/>
      <c r="O88" s="193"/>
      <c r="P88" s="193"/>
    </row>
    <row r="89" spans="3:25" x14ac:dyDescent="0.3">
      <c r="C89" s="270"/>
      <c r="E89" s="259"/>
      <c r="F89" s="193"/>
      <c r="G89" s="193"/>
      <c r="H89" s="193"/>
      <c r="I89" s="193"/>
      <c r="J89" s="193"/>
      <c r="K89" s="193"/>
      <c r="L89" s="193"/>
      <c r="M89" s="193"/>
      <c r="N89" s="193"/>
      <c r="O89" s="193"/>
      <c r="P89" s="193"/>
    </row>
    <row r="90" spans="3:25" x14ac:dyDescent="0.3">
      <c r="C90" s="270"/>
      <c r="E90" s="259"/>
      <c r="F90" s="193"/>
      <c r="G90" s="193"/>
      <c r="H90" s="193"/>
      <c r="I90" s="193"/>
      <c r="J90" s="193"/>
      <c r="K90" s="193"/>
      <c r="L90" s="193"/>
      <c r="M90" s="193"/>
      <c r="N90" s="193"/>
      <c r="O90" s="193"/>
      <c r="P90" s="193"/>
    </row>
    <row r="91" spans="3:25" x14ac:dyDescent="0.3">
      <c r="C91" s="270"/>
      <c r="E91" s="259"/>
      <c r="F91" s="193"/>
      <c r="G91" s="193"/>
      <c r="H91" s="193"/>
      <c r="I91" s="193"/>
      <c r="J91" s="193"/>
      <c r="K91" s="193"/>
      <c r="L91" s="193"/>
      <c r="M91" s="193"/>
      <c r="N91" s="193"/>
      <c r="O91" s="193"/>
      <c r="P91" s="193"/>
    </row>
    <row r="92" spans="3:25" x14ac:dyDescent="0.3">
      <c r="C92" s="270"/>
      <c r="E92" s="259"/>
      <c r="F92" s="193"/>
      <c r="G92" s="193"/>
      <c r="H92" s="193"/>
      <c r="I92" s="193"/>
      <c r="J92" s="193"/>
      <c r="K92" s="193"/>
      <c r="L92" s="193"/>
      <c r="M92" s="193"/>
      <c r="N92" s="193"/>
      <c r="O92" s="193"/>
      <c r="P92" s="193"/>
    </row>
    <row r="93" spans="3:25" x14ac:dyDescent="0.3">
      <c r="C93" s="270"/>
      <c r="E93" s="259"/>
      <c r="F93" s="193"/>
      <c r="G93" s="193"/>
      <c r="H93" s="193"/>
      <c r="I93" s="193"/>
      <c r="J93" s="193"/>
      <c r="K93" s="193"/>
      <c r="L93" s="193"/>
      <c r="M93" s="193"/>
      <c r="N93" s="193"/>
      <c r="O93" s="193"/>
      <c r="P93" s="193"/>
    </row>
    <row r="94" spans="3:25" x14ac:dyDescent="0.3">
      <c r="C94" s="270"/>
      <c r="E94" s="259"/>
      <c r="F94" s="193"/>
      <c r="G94" s="193"/>
      <c r="H94" s="193"/>
      <c r="I94" s="193"/>
      <c r="J94" s="193"/>
      <c r="K94" s="193"/>
      <c r="L94" s="193"/>
      <c r="M94" s="193"/>
      <c r="N94" s="193"/>
      <c r="O94" s="193"/>
      <c r="P94" s="193"/>
      <c r="T94" s="37" t="s">
        <v>202</v>
      </c>
      <c r="U94" s="37"/>
      <c r="V94" s="37"/>
      <c r="W94" s="37"/>
      <c r="X94" s="37"/>
      <c r="Y94" s="37" t="s">
        <v>201</v>
      </c>
    </row>
    <row r="95" spans="3:25" x14ac:dyDescent="0.3">
      <c r="C95" s="270"/>
      <c r="E95" s="259"/>
      <c r="F95" s="193"/>
      <c r="G95" s="193"/>
      <c r="H95" s="193"/>
      <c r="I95" s="193"/>
      <c r="J95" s="193"/>
      <c r="K95" s="193"/>
      <c r="L95" s="193"/>
      <c r="M95" s="193"/>
      <c r="N95" s="193"/>
      <c r="O95" s="193"/>
      <c r="P95" s="193"/>
      <c r="T95" t="s">
        <v>102</v>
      </c>
      <c r="Y95" t="s">
        <v>102</v>
      </c>
    </row>
    <row r="96" spans="3:25" x14ac:dyDescent="0.3">
      <c r="C96" s="270"/>
      <c r="E96" s="259"/>
      <c r="F96" s="193"/>
      <c r="G96" s="193"/>
      <c r="H96" s="193"/>
      <c r="I96" s="193"/>
      <c r="J96" s="193"/>
      <c r="K96" s="193"/>
      <c r="L96" s="193"/>
      <c r="M96" s="193"/>
      <c r="N96" s="193"/>
      <c r="O96" s="193"/>
      <c r="P96" s="193"/>
    </row>
    <row r="97" spans="3:25" x14ac:dyDescent="0.3">
      <c r="C97" s="270"/>
      <c r="E97" s="259"/>
      <c r="F97" s="193"/>
      <c r="G97" s="193"/>
      <c r="H97" s="193"/>
      <c r="I97" s="193"/>
      <c r="J97" s="193"/>
      <c r="K97" s="193"/>
      <c r="L97" s="193"/>
      <c r="M97" s="193"/>
      <c r="N97" s="193"/>
      <c r="O97" s="193"/>
      <c r="P97" s="193"/>
      <c r="S97" t="b">
        <f>T97=Y97</f>
        <v>1</v>
      </c>
      <c r="T97" t="s">
        <v>103</v>
      </c>
      <c r="Y97" t="s">
        <v>103</v>
      </c>
    </row>
    <row r="98" spans="3:25" x14ac:dyDescent="0.3">
      <c r="C98" s="270"/>
      <c r="E98" s="259"/>
      <c r="F98" s="193"/>
      <c r="G98" s="193"/>
      <c r="H98" s="193"/>
      <c r="I98" s="193"/>
      <c r="J98" s="193"/>
      <c r="K98" s="193"/>
      <c r="L98" s="193"/>
      <c r="M98" s="193"/>
      <c r="N98" s="193"/>
      <c r="O98" s="193"/>
      <c r="P98" s="193"/>
      <c r="S98" t="b">
        <f t="shared" ref="S98:S161" si="19">T98=Y98</f>
        <v>1</v>
      </c>
      <c r="T98" t="s">
        <v>104</v>
      </c>
      <c r="Y98" t="s">
        <v>104</v>
      </c>
    </row>
    <row r="99" spans="3:25" x14ac:dyDescent="0.3">
      <c r="C99" s="270"/>
      <c r="E99" s="259"/>
      <c r="F99" s="193"/>
      <c r="G99" s="193"/>
      <c r="H99" s="193"/>
      <c r="I99" s="193"/>
      <c r="J99" s="193"/>
      <c r="K99" s="193"/>
      <c r="L99" s="193"/>
      <c r="M99" s="193"/>
      <c r="N99" s="193"/>
      <c r="O99" s="193"/>
      <c r="P99" s="193"/>
      <c r="S99" t="b">
        <f t="shared" si="19"/>
        <v>1</v>
      </c>
      <c r="T99" t="s">
        <v>105</v>
      </c>
      <c r="Y99" t="s">
        <v>105</v>
      </c>
    </row>
    <row r="100" spans="3:25" x14ac:dyDescent="0.3">
      <c r="C100" s="270"/>
      <c r="E100" s="259"/>
      <c r="F100" s="193"/>
      <c r="G100" s="193"/>
      <c r="H100" s="193"/>
      <c r="I100" s="193"/>
      <c r="J100" s="193"/>
      <c r="K100" s="193"/>
      <c r="L100" s="193"/>
      <c r="M100" s="193"/>
      <c r="N100" s="193"/>
      <c r="O100" s="193"/>
      <c r="P100" s="193"/>
      <c r="S100" t="b">
        <f t="shared" si="19"/>
        <v>1</v>
      </c>
      <c r="T100" t="s">
        <v>106</v>
      </c>
      <c r="Y100" t="s">
        <v>106</v>
      </c>
    </row>
    <row r="101" spans="3:25" x14ac:dyDescent="0.3">
      <c r="C101" s="270"/>
      <c r="E101" s="259"/>
      <c r="F101" s="193"/>
      <c r="G101" s="193"/>
      <c r="H101" s="193"/>
      <c r="I101" s="193"/>
      <c r="J101" s="193"/>
      <c r="K101" s="193"/>
      <c r="L101" s="193"/>
      <c r="M101" s="193"/>
      <c r="N101" s="193"/>
      <c r="O101" s="193"/>
      <c r="P101" s="193"/>
      <c r="S101" t="b">
        <f t="shared" si="19"/>
        <v>1</v>
      </c>
      <c r="T101" t="s">
        <v>107</v>
      </c>
      <c r="Y101" t="s">
        <v>107</v>
      </c>
    </row>
    <row r="102" spans="3:25" x14ac:dyDescent="0.3">
      <c r="C102" s="270"/>
      <c r="E102" s="259"/>
      <c r="F102" s="193"/>
      <c r="G102" s="193"/>
      <c r="H102" s="193"/>
      <c r="I102" s="193"/>
      <c r="J102" s="193"/>
      <c r="K102" s="193"/>
      <c r="L102" s="193"/>
      <c r="M102" s="193"/>
      <c r="N102" s="193"/>
      <c r="O102" s="193"/>
      <c r="P102" s="193"/>
      <c r="S102" t="b">
        <f t="shared" si="19"/>
        <v>1</v>
      </c>
      <c r="T102" t="s">
        <v>108</v>
      </c>
      <c r="Y102" t="s">
        <v>108</v>
      </c>
    </row>
    <row r="103" spans="3:25" x14ac:dyDescent="0.3">
      <c r="C103" s="270"/>
      <c r="E103" s="259"/>
      <c r="F103" s="193"/>
      <c r="G103" s="193"/>
      <c r="H103" s="193"/>
      <c r="I103" s="193"/>
      <c r="J103" s="193"/>
      <c r="K103" s="193"/>
      <c r="L103" s="193"/>
      <c r="M103" s="193"/>
      <c r="N103" s="193"/>
      <c r="O103" s="193"/>
      <c r="P103" s="193"/>
      <c r="S103" t="b">
        <f t="shared" si="19"/>
        <v>1</v>
      </c>
    </row>
    <row r="104" spans="3:25" x14ac:dyDescent="0.3">
      <c r="C104" s="270"/>
      <c r="E104" s="259"/>
      <c r="F104" s="193"/>
      <c r="G104" s="193"/>
      <c r="H104" s="193"/>
      <c r="I104" s="193"/>
      <c r="J104" s="193"/>
      <c r="K104" s="193"/>
      <c r="L104" s="193"/>
      <c r="M104" s="193"/>
      <c r="N104" s="193"/>
      <c r="O104" s="193"/>
      <c r="P104" s="193"/>
      <c r="S104" t="b">
        <f t="shared" si="19"/>
        <v>1</v>
      </c>
      <c r="T104" t="s">
        <v>109</v>
      </c>
      <c r="Y104" t="s">
        <v>109</v>
      </c>
    </row>
    <row r="105" spans="3:25" x14ac:dyDescent="0.3">
      <c r="C105" s="270"/>
      <c r="E105" s="259"/>
      <c r="F105" s="193"/>
      <c r="G105" s="193"/>
      <c r="H105" s="193"/>
      <c r="I105" s="193"/>
      <c r="J105" s="193"/>
      <c r="K105" s="193"/>
      <c r="L105" s="193"/>
      <c r="M105" s="193"/>
      <c r="N105" s="193"/>
      <c r="O105" s="193"/>
      <c r="P105" s="193"/>
      <c r="S105" t="b">
        <f t="shared" si="19"/>
        <v>1</v>
      </c>
      <c r="T105" t="s">
        <v>110</v>
      </c>
      <c r="Y105" t="s">
        <v>110</v>
      </c>
    </row>
    <row r="106" spans="3:25" x14ac:dyDescent="0.3">
      <c r="C106" s="270"/>
      <c r="E106" s="259"/>
      <c r="F106" s="193"/>
      <c r="G106" s="193"/>
      <c r="H106" s="193"/>
      <c r="I106" s="193"/>
      <c r="J106" s="193"/>
      <c r="K106" s="193"/>
      <c r="L106" s="193"/>
      <c r="M106" s="193"/>
      <c r="N106" s="193"/>
      <c r="O106" s="193"/>
      <c r="P106" s="193"/>
      <c r="S106" t="b">
        <f t="shared" si="19"/>
        <v>1</v>
      </c>
      <c r="T106" t="s">
        <v>111</v>
      </c>
      <c r="Y106" t="s">
        <v>111</v>
      </c>
    </row>
    <row r="107" spans="3:25" x14ac:dyDescent="0.3">
      <c r="C107" s="270"/>
      <c r="E107" s="259"/>
      <c r="F107" s="193"/>
      <c r="G107" s="193"/>
      <c r="H107" s="193"/>
      <c r="I107" s="193"/>
      <c r="J107" s="193"/>
      <c r="K107" s="193"/>
      <c r="L107" s="193"/>
      <c r="M107" s="193"/>
      <c r="N107" s="193"/>
      <c r="O107" s="193"/>
      <c r="P107" s="193"/>
      <c r="S107" t="b">
        <f t="shared" si="19"/>
        <v>1</v>
      </c>
    </row>
    <row r="108" spans="3:25" x14ac:dyDescent="0.3">
      <c r="C108" s="270"/>
      <c r="E108" s="259"/>
      <c r="F108" s="193"/>
      <c r="G108" s="193"/>
      <c r="H108" s="193"/>
      <c r="I108" s="193"/>
      <c r="J108" s="193"/>
      <c r="K108" s="193"/>
      <c r="L108" s="193"/>
      <c r="M108" s="193"/>
      <c r="N108" s="193"/>
      <c r="O108" s="193"/>
      <c r="P108" s="193"/>
      <c r="S108" t="b">
        <f t="shared" si="19"/>
        <v>1</v>
      </c>
      <c r="T108" t="s">
        <v>112</v>
      </c>
      <c r="Y108" t="s">
        <v>112</v>
      </c>
    </row>
    <row r="109" spans="3:25" x14ac:dyDescent="0.3">
      <c r="C109" s="270"/>
      <c r="E109" s="259"/>
      <c r="F109" s="193"/>
      <c r="G109" s="193"/>
      <c r="H109" s="193"/>
      <c r="I109" s="193"/>
      <c r="J109" s="193"/>
      <c r="K109" s="193"/>
      <c r="L109" s="193"/>
      <c r="M109" s="193"/>
      <c r="N109" s="193"/>
      <c r="O109" s="193"/>
      <c r="P109" s="193"/>
      <c r="S109" t="b">
        <f t="shared" si="19"/>
        <v>1</v>
      </c>
    </row>
    <row r="110" spans="3:25" x14ac:dyDescent="0.3">
      <c r="C110" s="270"/>
      <c r="E110" s="259"/>
      <c r="F110" s="193"/>
      <c r="G110" s="193"/>
      <c r="H110" s="193"/>
      <c r="I110" s="193"/>
      <c r="J110" s="193"/>
      <c r="K110" s="193"/>
      <c r="L110" s="193"/>
      <c r="M110" s="193"/>
      <c r="N110" s="193"/>
      <c r="O110" s="193"/>
      <c r="P110" s="193"/>
      <c r="S110" t="b">
        <f t="shared" si="19"/>
        <v>0</v>
      </c>
      <c r="T110" t="s">
        <v>113</v>
      </c>
      <c r="Y110" t="s">
        <v>195</v>
      </c>
    </row>
    <row r="111" spans="3:25" x14ac:dyDescent="0.3">
      <c r="C111" s="270"/>
      <c r="E111" s="259"/>
      <c r="F111" s="193"/>
      <c r="G111" s="193"/>
      <c r="H111" s="193"/>
      <c r="I111" s="193"/>
      <c r="J111" s="193"/>
      <c r="K111" s="193"/>
      <c r="L111" s="193"/>
      <c r="M111" s="193"/>
      <c r="N111" s="193"/>
      <c r="O111" s="193"/>
      <c r="P111" s="193"/>
      <c r="S111" t="b">
        <f t="shared" si="19"/>
        <v>0</v>
      </c>
      <c r="Y111" t="s">
        <v>196</v>
      </c>
    </row>
    <row r="112" spans="3:25" x14ac:dyDescent="0.3">
      <c r="C112" s="270"/>
      <c r="E112" s="259"/>
      <c r="F112" s="193"/>
      <c r="G112" s="193"/>
      <c r="H112" s="193"/>
      <c r="I112" s="193"/>
      <c r="J112" s="193"/>
      <c r="K112" s="193"/>
      <c r="L112" s="193"/>
      <c r="M112" s="193"/>
      <c r="N112" s="193"/>
      <c r="O112" s="193"/>
      <c r="P112" s="193"/>
      <c r="S112" t="b">
        <f t="shared" si="19"/>
        <v>0</v>
      </c>
      <c r="T112" t="s">
        <v>114</v>
      </c>
      <c r="Y112" t="s">
        <v>197</v>
      </c>
    </row>
    <row r="113" spans="3:25" x14ac:dyDescent="0.3">
      <c r="C113" s="270"/>
      <c r="E113" s="259"/>
      <c r="F113" s="193"/>
      <c r="G113" s="193"/>
      <c r="H113" s="193"/>
      <c r="I113" s="193"/>
      <c r="J113" s="193"/>
      <c r="K113" s="193"/>
      <c r="L113" s="193"/>
      <c r="M113" s="193"/>
      <c r="N113" s="193"/>
      <c r="O113" s="193"/>
      <c r="P113" s="193"/>
      <c r="S113" t="b">
        <f t="shared" si="19"/>
        <v>0</v>
      </c>
      <c r="T113" t="s">
        <v>115</v>
      </c>
    </row>
    <row r="114" spans="3:25" x14ac:dyDescent="0.3">
      <c r="C114" s="270"/>
      <c r="E114" s="259"/>
      <c r="F114" s="193"/>
      <c r="G114" s="193"/>
      <c r="H114" s="193"/>
      <c r="I114" s="193"/>
      <c r="J114" s="193"/>
      <c r="K114" s="193"/>
      <c r="L114" s="193"/>
      <c r="M114" s="193"/>
      <c r="N114" s="193"/>
      <c r="O114" s="193"/>
      <c r="P114" s="193"/>
      <c r="S114" t="b">
        <f t="shared" si="19"/>
        <v>0</v>
      </c>
      <c r="T114" t="s">
        <v>116</v>
      </c>
      <c r="Y114" t="s">
        <v>113</v>
      </c>
    </row>
    <row r="115" spans="3:25" x14ac:dyDescent="0.3">
      <c r="C115" s="270"/>
      <c r="E115" s="259"/>
      <c r="F115" s="193"/>
      <c r="G115" s="193"/>
      <c r="H115" s="193"/>
      <c r="I115" s="193"/>
      <c r="J115" s="193"/>
      <c r="K115" s="193"/>
      <c r="L115" s="193"/>
      <c r="M115" s="193"/>
      <c r="N115" s="193"/>
      <c r="O115" s="193"/>
      <c r="P115" s="193"/>
      <c r="S115" t="b">
        <f t="shared" si="19"/>
        <v>0</v>
      </c>
      <c r="T115" t="s">
        <v>117</v>
      </c>
    </row>
    <row r="116" spans="3:25" x14ac:dyDescent="0.3">
      <c r="C116" s="270"/>
      <c r="E116" s="259"/>
      <c r="F116" s="193"/>
      <c r="G116" s="193"/>
      <c r="H116" s="193"/>
      <c r="I116" s="193"/>
      <c r="J116" s="193"/>
      <c r="K116" s="193"/>
      <c r="L116" s="193"/>
      <c r="M116" s="193"/>
      <c r="N116" s="193"/>
      <c r="O116" s="193"/>
      <c r="P116" s="193"/>
      <c r="S116" t="b">
        <f t="shared" si="19"/>
        <v>0</v>
      </c>
      <c r="Y116" t="s">
        <v>114</v>
      </c>
    </row>
    <row r="117" spans="3:25" x14ac:dyDescent="0.3">
      <c r="C117" s="270"/>
      <c r="E117" s="259"/>
      <c r="F117" s="193"/>
      <c r="G117" s="193"/>
      <c r="H117" s="193"/>
      <c r="I117" s="193"/>
      <c r="J117" s="193"/>
      <c r="K117" s="193"/>
      <c r="L117" s="193"/>
      <c r="M117" s="193"/>
      <c r="N117" s="193"/>
      <c r="O117" s="193"/>
      <c r="P117" s="193"/>
      <c r="S117" t="b">
        <f t="shared" si="19"/>
        <v>0</v>
      </c>
      <c r="T117" t="s">
        <v>118</v>
      </c>
      <c r="Y117" t="s">
        <v>115</v>
      </c>
    </row>
    <row r="118" spans="3:25" x14ac:dyDescent="0.3">
      <c r="C118" s="270"/>
      <c r="E118" s="259"/>
      <c r="F118" s="193"/>
      <c r="G118" s="193"/>
      <c r="H118" s="193"/>
      <c r="I118" s="193"/>
      <c r="J118" s="193"/>
      <c r="K118" s="193"/>
      <c r="L118" s="193"/>
      <c r="M118" s="193"/>
      <c r="N118" s="193"/>
      <c r="O118" s="193"/>
      <c r="P118" s="193"/>
      <c r="S118" t="b">
        <f t="shared" si="19"/>
        <v>0</v>
      </c>
      <c r="Y118" t="s">
        <v>116</v>
      </c>
    </row>
    <row r="119" spans="3:25" x14ac:dyDescent="0.3">
      <c r="C119" s="270"/>
      <c r="E119" s="259"/>
      <c r="F119" s="193"/>
      <c r="G119" s="193"/>
      <c r="H119" s="193"/>
      <c r="I119" s="193"/>
      <c r="J119" s="193"/>
      <c r="K119" s="193"/>
      <c r="L119" s="193"/>
      <c r="M119" s="193"/>
      <c r="N119" s="193"/>
      <c r="O119" s="193"/>
      <c r="P119" s="193"/>
      <c r="S119" t="b">
        <f t="shared" si="19"/>
        <v>0</v>
      </c>
      <c r="T119" t="s">
        <v>119</v>
      </c>
      <c r="Y119" t="s">
        <v>117</v>
      </c>
    </row>
    <row r="120" spans="3:25" x14ac:dyDescent="0.3">
      <c r="C120" s="270"/>
      <c r="E120" s="259"/>
      <c r="F120" s="193"/>
      <c r="G120" s="193"/>
      <c r="H120" s="193"/>
      <c r="I120" s="193"/>
      <c r="J120" s="193"/>
      <c r="K120" s="193"/>
      <c r="L120" s="193"/>
      <c r="M120" s="193"/>
      <c r="N120" s="193"/>
      <c r="O120" s="193"/>
      <c r="P120" s="193"/>
      <c r="S120" t="b">
        <f t="shared" si="19"/>
        <v>0</v>
      </c>
      <c r="T120" t="s">
        <v>179</v>
      </c>
    </row>
    <row r="121" spans="3:25" x14ac:dyDescent="0.3">
      <c r="C121" s="270"/>
      <c r="E121" s="259"/>
      <c r="F121" s="193"/>
      <c r="G121" s="193"/>
      <c r="H121" s="193"/>
      <c r="I121" s="193"/>
      <c r="J121" s="193"/>
      <c r="K121" s="193"/>
      <c r="L121" s="193"/>
      <c r="M121" s="193"/>
      <c r="N121" s="193"/>
      <c r="O121" s="193"/>
      <c r="P121" s="193"/>
      <c r="S121" t="b">
        <f t="shared" si="19"/>
        <v>0</v>
      </c>
      <c r="T121" t="s">
        <v>180</v>
      </c>
      <c r="Y121" t="s">
        <v>118</v>
      </c>
    </row>
    <row r="122" spans="3:25" x14ac:dyDescent="0.3">
      <c r="C122" s="270"/>
      <c r="E122" s="259"/>
      <c r="F122" s="193"/>
      <c r="G122" s="193"/>
      <c r="H122" s="193"/>
      <c r="I122" s="193"/>
      <c r="J122" s="193"/>
      <c r="K122" s="193"/>
      <c r="L122" s="193"/>
      <c r="M122" s="193"/>
      <c r="N122" s="193"/>
      <c r="O122" s="193"/>
      <c r="P122" s="193"/>
      <c r="S122" t="b">
        <f t="shared" si="19"/>
        <v>0</v>
      </c>
      <c r="T122" t="s">
        <v>181</v>
      </c>
    </row>
    <row r="123" spans="3:25" x14ac:dyDescent="0.3">
      <c r="C123" s="270"/>
      <c r="E123" s="259"/>
      <c r="F123" s="193"/>
      <c r="G123" s="193"/>
      <c r="H123" s="193"/>
      <c r="I123" s="193"/>
      <c r="J123" s="193"/>
      <c r="K123" s="193"/>
      <c r="L123" s="193"/>
      <c r="M123" s="193"/>
      <c r="N123" s="193"/>
      <c r="O123" s="193"/>
      <c r="P123" s="193"/>
      <c r="S123" t="b">
        <f t="shared" si="19"/>
        <v>0</v>
      </c>
      <c r="T123" t="s">
        <v>182</v>
      </c>
      <c r="Y123" t="s">
        <v>119</v>
      </c>
    </row>
    <row r="124" spans="3:25" x14ac:dyDescent="0.3">
      <c r="C124" s="270"/>
      <c r="E124" s="259"/>
      <c r="F124" s="193"/>
      <c r="G124" s="193"/>
      <c r="H124" s="193"/>
      <c r="I124" s="193"/>
      <c r="J124" s="193"/>
      <c r="K124" s="193"/>
      <c r="L124" s="193"/>
      <c r="M124" s="193"/>
      <c r="N124" s="193"/>
      <c r="O124" s="193"/>
      <c r="P124" s="193"/>
      <c r="S124" t="b">
        <f t="shared" si="19"/>
        <v>0</v>
      </c>
      <c r="T124" t="s">
        <v>183</v>
      </c>
      <c r="Y124" t="s">
        <v>41</v>
      </c>
    </row>
    <row r="125" spans="3:25" x14ac:dyDescent="0.3">
      <c r="C125" s="270"/>
      <c r="E125" s="259"/>
      <c r="F125" s="193"/>
      <c r="G125" s="193"/>
      <c r="H125" s="193"/>
      <c r="I125" s="193"/>
      <c r="J125" s="193"/>
      <c r="K125" s="193"/>
      <c r="L125" s="193"/>
      <c r="M125" s="193"/>
      <c r="N125" s="193"/>
      <c r="O125" s="193"/>
      <c r="P125" s="193"/>
      <c r="S125" t="b">
        <f t="shared" si="19"/>
        <v>0</v>
      </c>
      <c r="T125" t="s">
        <v>184</v>
      </c>
      <c r="Y125" t="s">
        <v>43</v>
      </c>
    </row>
    <row r="126" spans="3:25" x14ac:dyDescent="0.3">
      <c r="C126" s="270"/>
      <c r="E126" s="259"/>
      <c r="F126" s="193"/>
      <c r="G126" s="193"/>
      <c r="H126" s="193"/>
      <c r="I126" s="193"/>
      <c r="J126" s="193"/>
      <c r="K126" s="193"/>
      <c r="L126" s="193"/>
      <c r="M126" s="193"/>
      <c r="N126" s="193"/>
      <c r="O126" s="193"/>
      <c r="P126" s="193"/>
      <c r="S126" t="b">
        <f t="shared" si="19"/>
        <v>0</v>
      </c>
      <c r="T126" t="s">
        <v>185</v>
      </c>
      <c r="Y126" t="s">
        <v>45</v>
      </c>
    </row>
    <row r="127" spans="3:25" x14ac:dyDescent="0.3">
      <c r="C127" s="270"/>
      <c r="E127" s="259"/>
      <c r="F127" s="193"/>
      <c r="G127" s="193"/>
      <c r="H127" s="193"/>
      <c r="I127" s="193"/>
      <c r="J127" s="193"/>
      <c r="K127" s="193"/>
      <c r="L127" s="193"/>
      <c r="M127" s="193"/>
      <c r="N127" s="193"/>
      <c r="O127" s="193"/>
      <c r="P127" s="193"/>
      <c r="S127" t="b">
        <f t="shared" si="19"/>
        <v>0</v>
      </c>
      <c r="T127" t="s">
        <v>186</v>
      </c>
      <c r="Y127" t="s">
        <v>47</v>
      </c>
    </row>
    <row r="128" spans="3:25" x14ac:dyDescent="0.3">
      <c r="C128" s="270"/>
      <c r="E128" s="259"/>
      <c r="F128" s="193"/>
      <c r="G128" s="193"/>
      <c r="H128" s="193"/>
      <c r="I128" s="193"/>
      <c r="J128" s="193"/>
      <c r="K128" s="193"/>
      <c r="L128" s="193"/>
      <c r="M128" s="193"/>
      <c r="N128" s="193"/>
      <c r="O128" s="193"/>
      <c r="P128" s="193"/>
      <c r="S128" t="b">
        <f t="shared" si="19"/>
        <v>1</v>
      </c>
      <c r="T128" t="s">
        <v>187</v>
      </c>
      <c r="Y128" t="s">
        <v>49</v>
      </c>
    </row>
    <row r="129" spans="3:25" x14ac:dyDescent="0.3">
      <c r="C129" s="270"/>
      <c r="E129" s="259"/>
      <c r="F129" s="193"/>
      <c r="G129" s="193"/>
      <c r="H129" s="193"/>
      <c r="I129" s="193"/>
      <c r="J129" s="193"/>
      <c r="K129" s="193"/>
      <c r="L129" s="193"/>
      <c r="M129" s="193"/>
      <c r="N129" s="193"/>
      <c r="O129" s="193"/>
      <c r="P129" s="193"/>
      <c r="S129" t="b">
        <f t="shared" si="19"/>
        <v>0</v>
      </c>
      <c r="T129" t="s">
        <v>120</v>
      </c>
      <c r="Y129" t="s">
        <v>51</v>
      </c>
    </row>
    <row r="130" spans="3:25" x14ac:dyDescent="0.3">
      <c r="C130" s="270"/>
      <c r="E130" s="259"/>
      <c r="F130" s="193"/>
      <c r="G130" s="193"/>
      <c r="H130" s="193"/>
      <c r="I130" s="193"/>
      <c r="J130" s="193"/>
      <c r="K130" s="193"/>
      <c r="L130" s="193"/>
      <c r="M130" s="193"/>
      <c r="N130" s="193"/>
      <c r="O130" s="193"/>
      <c r="P130" s="193"/>
      <c r="S130" t="b">
        <f t="shared" si="19"/>
        <v>0</v>
      </c>
      <c r="Y130" t="s">
        <v>53</v>
      </c>
    </row>
    <row r="131" spans="3:25" x14ac:dyDescent="0.3">
      <c r="C131" s="270"/>
      <c r="E131" s="259"/>
      <c r="F131" s="193"/>
      <c r="G131" s="193"/>
      <c r="H131" s="193"/>
      <c r="I131" s="193"/>
      <c r="J131" s="193"/>
      <c r="K131" s="193"/>
      <c r="L131" s="193"/>
      <c r="M131" s="193"/>
      <c r="N131" s="193"/>
      <c r="O131" s="193"/>
      <c r="P131" s="193"/>
      <c r="S131" t="b">
        <f t="shared" si="19"/>
        <v>0</v>
      </c>
      <c r="T131" t="s">
        <v>121</v>
      </c>
      <c r="Y131" t="s">
        <v>54</v>
      </c>
    </row>
    <row r="132" spans="3:25" x14ac:dyDescent="0.3">
      <c r="C132" s="270"/>
      <c r="E132" s="259"/>
      <c r="F132" s="193"/>
      <c r="G132" s="193"/>
      <c r="H132" s="193"/>
      <c r="I132" s="193"/>
      <c r="J132" s="193"/>
      <c r="K132" s="193"/>
      <c r="L132" s="193"/>
      <c r="M132" s="193"/>
      <c r="N132" s="193"/>
      <c r="O132" s="193"/>
      <c r="P132" s="193"/>
      <c r="S132" t="b">
        <f t="shared" si="19"/>
        <v>0</v>
      </c>
      <c r="Y132" t="s">
        <v>56</v>
      </c>
    </row>
    <row r="133" spans="3:25" x14ac:dyDescent="0.3">
      <c r="C133" s="270"/>
      <c r="E133" s="259"/>
      <c r="F133" s="193"/>
      <c r="G133" s="193"/>
      <c r="H133" s="193"/>
      <c r="I133" s="193"/>
      <c r="J133" s="193"/>
      <c r="K133" s="193"/>
      <c r="L133" s="193"/>
      <c r="M133" s="193"/>
      <c r="N133" s="193"/>
      <c r="O133" s="193"/>
      <c r="P133" s="193"/>
      <c r="S133" t="b">
        <f t="shared" si="19"/>
        <v>0</v>
      </c>
      <c r="T133" t="s">
        <v>122</v>
      </c>
      <c r="Y133" t="s">
        <v>57</v>
      </c>
    </row>
    <row r="134" spans="3:25" x14ac:dyDescent="0.3">
      <c r="C134" s="270"/>
      <c r="E134" s="259"/>
      <c r="F134" s="193"/>
      <c r="G134" s="193"/>
      <c r="H134" s="193"/>
      <c r="I134" s="193"/>
      <c r="J134" s="193"/>
      <c r="K134" s="193"/>
      <c r="L134" s="193"/>
      <c r="M134" s="193"/>
      <c r="N134" s="193"/>
      <c r="O134" s="193"/>
      <c r="P134" s="193"/>
      <c r="S134" t="b">
        <f t="shared" si="19"/>
        <v>0</v>
      </c>
      <c r="T134" t="s">
        <v>123</v>
      </c>
      <c r="Y134" t="s">
        <v>120</v>
      </c>
    </row>
    <row r="135" spans="3:25" x14ac:dyDescent="0.3">
      <c r="C135" s="270"/>
      <c r="E135" s="259"/>
      <c r="F135" s="193"/>
      <c r="G135" s="193"/>
      <c r="H135" s="193"/>
      <c r="I135" s="193"/>
      <c r="J135" s="193"/>
      <c r="K135" s="193"/>
      <c r="L135" s="193"/>
      <c r="M135" s="193"/>
      <c r="N135" s="193"/>
      <c r="O135" s="193"/>
      <c r="P135" s="193"/>
      <c r="S135" t="b">
        <f t="shared" si="19"/>
        <v>0</v>
      </c>
      <c r="T135" t="s">
        <v>124</v>
      </c>
    </row>
    <row r="136" spans="3:25" x14ac:dyDescent="0.3">
      <c r="C136" s="270"/>
      <c r="E136" s="259"/>
      <c r="F136" s="193"/>
      <c r="G136" s="193"/>
      <c r="H136" s="193"/>
      <c r="I136" s="193"/>
      <c r="J136" s="193"/>
      <c r="K136" s="193"/>
      <c r="L136" s="193"/>
      <c r="M136" s="193"/>
      <c r="N136" s="193"/>
      <c r="O136" s="193"/>
      <c r="P136" s="193"/>
      <c r="S136" t="b">
        <f t="shared" si="19"/>
        <v>0</v>
      </c>
      <c r="T136" t="s">
        <v>125</v>
      </c>
      <c r="Y136" t="s">
        <v>121</v>
      </c>
    </row>
    <row r="137" spans="3:25" x14ac:dyDescent="0.3">
      <c r="C137" s="270"/>
      <c r="E137" s="259"/>
      <c r="F137" s="193"/>
      <c r="G137" s="193"/>
      <c r="H137" s="193"/>
      <c r="I137" s="193"/>
      <c r="J137" s="193"/>
      <c r="K137" s="193"/>
      <c r="L137" s="193"/>
      <c r="M137" s="193"/>
      <c r="N137" s="193"/>
      <c r="O137" s="193"/>
      <c r="P137" s="193"/>
      <c r="S137" t="b">
        <f t="shared" si="19"/>
        <v>1</v>
      </c>
    </row>
    <row r="138" spans="3:25" x14ac:dyDescent="0.3">
      <c r="C138" s="270"/>
      <c r="E138" s="259"/>
      <c r="F138" s="193"/>
      <c r="G138" s="193"/>
      <c r="H138" s="193"/>
      <c r="I138" s="193"/>
      <c r="J138" s="193"/>
      <c r="K138" s="193"/>
      <c r="L138" s="193"/>
      <c r="M138" s="193"/>
      <c r="N138" s="193"/>
      <c r="O138" s="193"/>
      <c r="P138" s="193"/>
      <c r="S138" t="b">
        <f t="shared" si="19"/>
        <v>0</v>
      </c>
      <c r="T138" t="s">
        <v>126</v>
      </c>
      <c r="Y138" t="s">
        <v>122</v>
      </c>
    </row>
    <row r="139" spans="3:25" x14ac:dyDescent="0.3">
      <c r="C139" s="270"/>
      <c r="E139" s="259"/>
      <c r="F139" s="193"/>
      <c r="G139" s="193"/>
      <c r="H139" s="193"/>
      <c r="I139" s="193"/>
      <c r="J139" s="193"/>
      <c r="K139" s="193"/>
      <c r="L139" s="193"/>
      <c r="M139" s="193"/>
      <c r="N139" s="193"/>
      <c r="O139" s="193"/>
      <c r="P139" s="193"/>
      <c r="S139" t="b">
        <f t="shared" si="19"/>
        <v>0</v>
      </c>
      <c r="T139" t="s">
        <v>127</v>
      </c>
      <c r="Y139" t="s">
        <v>123</v>
      </c>
    </row>
    <row r="140" spans="3:25" x14ac:dyDescent="0.3">
      <c r="C140" s="270"/>
      <c r="E140" s="259"/>
      <c r="F140" s="193"/>
      <c r="G140" s="193"/>
      <c r="H140" s="193"/>
      <c r="I140" s="193"/>
      <c r="J140" s="193"/>
      <c r="K140" s="193"/>
      <c r="L140" s="193"/>
      <c r="M140" s="193"/>
      <c r="N140" s="193"/>
      <c r="O140" s="193"/>
      <c r="P140" s="193"/>
      <c r="S140" t="b">
        <f t="shared" si="19"/>
        <v>0</v>
      </c>
      <c r="T140" t="s">
        <v>128</v>
      </c>
      <c r="Y140" t="s">
        <v>124</v>
      </c>
    </row>
    <row r="141" spans="3:25" x14ac:dyDescent="0.3">
      <c r="C141" s="270"/>
      <c r="E141" s="193"/>
      <c r="F141" s="193"/>
      <c r="G141" s="193"/>
      <c r="H141" s="193"/>
      <c r="I141" s="193"/>
      <c r="J141" s="193"/>
      <c r="K141" s="193"/>
      <c r="L141" s="193"/>
      <c r="M141" s="193"/>
      <c r="N141" s="193"/>
      <c r="O141" s="193"/>
      <c r="P141" s="193"/>
      <c r="S141" t="b">
        <f t="shared" si="19"/>
        <v>0</v>
      </c>
      <c r="T141" t="s">
        <v>130</v>
      </c>
      <c r="Y141" t="s">
        <v>125</v>
      </c>
    </row>
    <row r="142" spans="3:25" x14ac:dyDescent="0.3">
      <c r="C142" s="270"/>
      <c r="E142" s="193"/>
      <c r="F142" s="193"/>
      <c r="G142" s="193"/>
      <c r="H142" s="193"/>
      <c r="I142" s="193"/>
      <c r="J142" s="193"/>
      <c r="K142" s="193"/>
      <c r="L142" s="193"/>
      <c r="M142" s="193"/>
      <c r="N142" s="193"/>
      <c r="O142" s="193"/>
      <c r="P142" s="193"/>
      <c r="S142" t="b">
        <f t="shared" si="19"/>
        <v>0</v>
      </c>
      <c r="T142" t="s">
        <v>129</v>
      </c>
    </row>
    <row r="143" spans="3:25" x14ac:dyDescent="0.3">
      <c r="C143" s="270"/>
      <c r="E143" s="193"/>
      <c r="F143" s="193"/>
      <c r="G143" s="193"/>
      <c r="H143" s="193"/>
      <c r="I143" s="193"/>
      <c r="J143" s="193"/>
      <c r="K143" s="193"/>
      <c r="L143" s="193"/>
      <c r="M143" s="193"/>
      <c r="N143" s="193"/>
      <c r="O143" s="193"/>
      <c r="P143" s="193"/>
      <c r="S143" t="b">
        <f t="shared" si="19"/>
        <v>0</v>
      </c>
      <c r="T143" t="s">
        <v>188</v>
      </c>
      <c r="Y143" t="s">
        <v>126</v>
      </c>
    </row>
    <row r="144" spans="3:25" x14ac:dyDescent="0.3">
      <c r="C144" s="270"/>
      <c r="E144" s="193"/>
      <c r="F144" s="193"/>
      <c r="G144" s="193"/>
      <c r="H144" s="193"/>
      <c r="I144" s="193"/>
      <c r="J144" s="193"/>
      <c r="K144" s="193"/>
      <c r="L144" s="193"/>
      <c r="M144" s="193"/>
      <c r="N144" s="193"/>
      <c r="O144" s="193"/>
      <c r="P144" s="193"/>
      <c r="S144" t="b">
        <f t="shared" si="19"/>
        <v>0</v>
      </c>
      <c r="T144" t="s">
        <v>131</v>
      </c>
      <c r="Y144" t="s">
        <v>198</v>
      </c>
    </row>
    <row r="145" spans="3:25" x14ac:dyDescent="0.3">
      <c r="C145" s="270"/>
      <c r="E145" s="193"/>
      <c r="F145" s="193"/>
      <c r="G145" s="193"/>
      <c r="H145" s="193"/>
      <c r="I145" s="193"/>
      <c r="J145" s="193"/>
      <c r="K145" s="193"/>
      <c r="L145" s="193"/>
      <c r="M145" s="193"/>
      <c r="N145" s="193"/>
      <c r="O145" s="193"/>
      <c r="P145" s="193"/>
      <c r="S145" t="b">
        <f t="shared" si="19"/>
        <v>0</v>
      </c>
      <c r="Y145" t="s">
        <v>199</v>
      </c>
    </row>
    <row r="146" spans="3:25" x14ac:dyDescent="0.3">
      <c r="C146" s="270"/>
      <c r="E146" s="193"/>
      <c r="F146" s="193"/>
      <c r="G146" s="193"/>
      <c r="H146" s="193"/>
      <c r="I146" s="193"/>
      <c r="J146" s="193"/>
      <c r="K146" s="193"/>
      <c r="L146" s="193"/>
      <c r="M146" s="193"/>
      <c r="N146" s="193"/>
      <c r="O146" s="193"/>
      <c r="P146" s="193"/>
      <c r="S146" t="b">
        <f t="shared" si="19"/>
        <v>0</v>
      </c>
      <c r="T146" t="s">
        <v>132</v>
      </c>
      <c r="Y146" t="s">
        <v>200</v>
      </c>
    </row>
    <row r="147" spans="3:25" x14ac:dyDescent="0.3">
      <c r="C147" s="270"/>
      <c r="E147" s="193"/>
      <c r="F147" s="193"/>
      <c r="G147" s="193"/>
      <c r="H147" s="193"/>
      <c r="I147" s="193"/>
      <c r="J147" s="193"/>
      <c r="K147" s="193"/>
      <c r="L147" s="193"/>
      <c r="M147" s="193"/>
      <c r="N147" s="193"/>
      <c r="O147" s="193"/>
      <c r="P147" s="193"/>
      <c r="S147" t="b">
        <f t="shared" si="19"/>
        <v>0</v>
      </c>
      <c r="Y147" t="s">
        <v>131</v>
      </c>
    </row>
    <row r="148" spans="3:25" x14ac:dyDescent="0.3">
      <c r="C148" s="270"/>
      <c r="E148" s="193"/>
      <c r="F148" s="193"/>
      <c r="G148" s="193"/>
      <c r="H148" s="193"/>
      <c r="I148" s="193"/>
      <c r="J148" s="193"/>
      <c r="K148" s="193"/>
      <c r="L148" s="193"/>
      <c r="M148" s="193"/>
      <c r="N148" s="193"/>
      <c r="O148" s="193"/>
      <c r="P148" s="193"/>
      <c r="S148" t="b">
        <f t="shared" si="19"/>
        <v>0</v>
      </c>
      <c r="T148" t="s">
        <v>133</v>
      </c>
    </row>
    <row r="149" spans="3:25" x14ac:dyDescent="0.3">
      <c r="C149" s="270"/>
      <c r="E149" s="193"/>
      <c r="F149" s="193"/>
      <c r="G149" s="193"/>
      <c r="H149" s="193"/>
      <c r="I149" s="193"/>
      <c r="J149" s="193"/>
      <c r="K149" s="193"/>
      <c r="L149" s="193"/>
      <c r="M149" s="193"/>
      <c r="N149" s="193"/>
      <c r="O149" s="193"/>
      <c r="P149" s="193"/>
      <c r="S149" t="b">
        <f t="shared" si="19"/>
        <v>0</v>
      </c>
      <c r="Y149" t="s">
        <v>132</v>
      </c>
    </row>
    <row r="150" spans="3:25" x14ac:dyDescent="0.3">
      <c r="C150" s="270"/>
      <c r="E150" s="193"/>
      <c r="F150" s="193"/>
      <c r="G150" s="193"/>
      <c r="H150" s="193"/>
      <c r="I150" s="193"/>
      <c r="J150" s="193"/>
      <c r="K150" s="193"/>
      <c r="L150" s="193"/>
      <c r="M150" s="193"/>
      <c r="N150" s="193"/>
      <c r="O150" s="193"/>
      <c r="P150" s="193"/>
      <c r="S150" t="b">
        <f t="shared" si="19"/>
        <v>0</v>
      </c>
      <c r="T150" t="s">
        <v>134</v>
      </c>
    </row>
    <row r="151" spans="3:25" x14ac:dyDescent="0.3">
      <c r="C151" s="270"/>
      <c r="E151" s="193"/>
      <c r="F151" s="193"/>
      <c r="G151" s="193"/>
      <c r="H151" s="193"/>
      <c r="I151" s="193"/>
      <c r="J151" s="193"/>
      <c r="K151" s="193"/>
      <c r="L151" s="193"/>
      <c r="M151" s="193"/>
      <c r="N151" s="193"/>
      <c r="O151" s="193"/>
      <c r="P151" s="193"/>
      <c r="S151" t="b">
        <f t="shared" si="19"/>
        <v>0</v>
      </c>
      <c r="Y151" t="s">
        <v>133</v>
      </c>
    </row>
    <row r="152" spans="3:25" x14ac:dyDescent="0.3">
      <c r="C152" s="270"/>
      <c r="E152" s="193"/>
      <c r="F152" s="193"/>
      <c r="G152" s="193"/>
      <c r="H152" s="193"/>
      <c r="I152" s="193"/>
      <c r="J152" s="193"/>
      <c r="K152" s="193"/>
      <c r="L152" s="193"/>
      <c r="M152" s="193"/>
      <c r="N152" s="193"/>
      <c r="O152" s="193"/>
      <c r="P152" s="193"/>
      <c r="S152" t="b">
        <f t="shared" si="19"/>
        <v>1</v>
      </c>
    </row>
    <row r="153" spans="3:25" x14ac:dyDescent="0.3">
      <c r="C153" s="270"/>
      <c r="E153" s="193"/>
      <c r="F153" s="193"/>
      <c r="G153" s="193"/>
      <c r="H153" s="193"/>
      <c r="I153" s="193"/>
      <c r="J153" s="193"/>
      <c r="K153" s="193"/>
      <c r="L153" s="193"/>
      <c r="M153" s="193"/>
      <c r="N153" s="193"/>
      <c r="O153" s="193"/>
      <c r="P153" s="193"/>
      <c r="S153" t="b">
        <f t="shared" si="19"/>
        <v>0</v>
      </c>
      <c r="T153" t="s">
        <v>189</v>
      </c>
      <c r="Y153" t="s">
        <v>134</v>
      </c>
    </row>
    <row r="154" spans="3:25" x14ac:dyDescent="0.3">
      <c r="C154" s="270"/>
      <c r="E154" s="193"/>
      <c r="F154" s="193"/>
      <c r="G154" s="193"/>
      <c r="H154" s="193"/>
      <c r="I154" s="193"/>
      <c r="J154" s="193"/>
      <c r="K154" s="193"/>
      <c r="L154" s="193"/>
      <c r="M154" s="193"/>
      <c r="N154" s="193"/>
      <c r="O154" s="193"/>
      <c r="P154" s="193"/>
      <c r="S154" t="b">
        <f t="shared" si="19"/>
        <v>0</v>
      </c>
      <c r="T154" t="s">
        <v>190</v>
      </c>
    </row>
    <row r="155" spans="3:25" x14ac:dyDescent="0.3">
      <c r="C155" s="270"/>
      <c r="E155" s="193"/>
      <c r="F155" s="193"/>
      <c r="G155" s="193"/>
      <c r="H155" s="193"/>
      <c r="I155" s="193"/>
      <c r="J155" s="193"/>
      <c r="K155" s="193"/>
      <c r="L155" s="193"/>
      <c r="M155" s="193"/>
      <c r="N155" s="193"/>
      <c r="O155" s="193"/>
      <c r="P155" s="193"/>
      <c r="S155" t="b">
        <f t="shared" si="19"/>
        <v>0</v>
      </c>
      <c r="T155" t="s">
        <v>191</v>
      </c>
    </row>
    <row r="156" spans="3:25" x14ac:dyDescent="0.3">
      <c r="C156" s="270"/>
      <c r="E156" s="193"/>
      <c r="F156" s="193"/>
      <c r="G156" s="193"/>
      <c r="H156" s="193"/>
      <c r="I156" s="193"/>
      <c r="J156" s="193"/>
      <c r="K156" s="193"/>
      <c r="L156" s="193"/>
      <c r="M156" s="193"/>
      <c r="N156" s="193"/>
      <c r="O156" s="193"/>
      <c r="P156" s="193"/>
      <c r="S156" t="b">
        <f t="shared" si="19"/>
        <v>0</v>
      </c>
      <c r="T156" t="s">
        <v>192</v>
      </c>
      <c r="Y156" t="s">
        <v>189</v>
      </c>
    </row>
    <row r="157" spans="3:25" x14ac:dyDescent="0.3">
      <c r="C157" s="270"/>
      <c r="E157" s="193"/>
      <c r="F157" s="193"/>
      <c r="G157" s="193"/>
      <c r="H157" s="193"/>
      <c r="I157" s="193"/>
      <c r="J157" s="193"/>
      <c r="K157" s="193"/>
      <c r="L157" s="193"/>
      <c r="M157" s="193"/>
      <c r="N157" s="193"/>
      <c r="O157" s="193"/>
      <c r="P157" s="193"/>
      <c r="S157" t="b">
        <f t="shared" si="19"/>
        <v>0</v>
      </c>
      <c r="T157" t="s">
        <v>193</v>
      </c>
      <c r="Y157" t="s">
        <v>190</v>
      </c>
    </row>
    <row r="158" spans="3:25" x14ac:dyDescent="0.3">
      <c r="C158" s="270"/>
      <c r="E158" s="193"/>
      <c r="F158" s="193"/>
      <c r="G158" s="193"/>
      <c r="H158" s="193"/>
      <c r="I158" s="193"/>
      <c r="J158" s="193"/>
      <c r="K158" s="193"/>
      <c r="L158" s="193"/>
      <c r="M158" s="193"/>
      <c r="N158" s="193"/>
      <c r="O158" s="193"/>
      <c r="P158" s="193"/>
      <c r="S158" t="b">
        <f t="shared" si="19"/>
        <v>0</v>
      </c>
      <c r="T158" t="s">
        <v>194</v>
      </c>
      <c r="Y158" t="s">
        <v>191</v>
      </c>
    </row>
    <row r="159" spans="3:25" x14ac:dyDescent="0.3">
      <c r="C159" s="270"/>
      <c r="E159" s="193"/>
      <c r="F159" s="193"/>
      <c r="G159" s="193"/>
      <c r="H159" s="193"/>
      <c r="I159" s="193"/>
      <c r="J159" s="193"/>
      <c r="K159" s="193"/>
      <c r="L159" s="193"/>
      <c r="M159" s="193"/>
      <c r="N159" s="193"/>
      <c r="O159" s="193"/>
      <c r="P159" s="193"/>
      <c r="S159" t="b">
        <f t="shared" si="19"/>
        <v>0</v>
      </c>
      <c r="Y159" t="s">
        <v>192</v>
      </c>
    </row>
    <row r="160" spans="3:25" x14ac:dyDescent="0.3">
      <c r="C160" s="270"/>
      <c r="E160" s="193"/>
      <c r="F160" s="193"/>
      <c r="G160" s="193"/>
      <c r="H160" s="193"/>
      <c r="I160" s="193"/>
      <c r="J160" s="193"/>
      <c r="K160" s="193"/>
      <c r="L160" s="193"/>
      <c r="M160" s="193"/>
      <c r="N160" s="193"/>
      <c r="O160" s="193"/>
      <c r="P160" s="193"/>
      <c r="S160" t="b">
        <f t="shared" si="19"/>
        <v>0</v>
      </c>
      <c r="Y160" t="s">
        <v>193</v>
      </c>
    </row>
    <row r="161" spans="3:25" x14ac:dyDescent="0.3">
      <c r="C161" s="270"/>
      <c r="E161" s="193"/>
      <c r="F161" s="193"/>
      <c r="G161" s="193"/>
      <c r="H161" s="193"/>
      <c r="I161" s="193"/>
      <c r="J161" s="193"/>
      <c r="K161" s="193"/>
      <c r="L161" s="193"/>
      <c r="M161" s="193"/>
      <c r="N161" s="193"/>
      <c r="O161" s="193"/>
      <c r="P161" s="193"/>
      <c r="S161" t="b">
        <f t="shared" si="19"/>
        <v>0</v>
      </c>
      <c r="Y161" t="s">
        <v>194</v>
      </c>
    </row>
    <row r="162" spans="3:25" x14ac:dyDescent="0.3">
      <c r="C162" s="270"/>
      <c r="E162" s="193"/>
      <c r="F162" s="193"/>
      <c r="G162" s="193"/>
      <c r="H162" s="193"/>
      <c r="I162" s="193"/>
      <c r="J162" s="193"/>
      <c r="K162" s="193"/>
      <c r="L162" s="193"/>
      <c r="M162" s="193"/>
      <c r="N162" s="193"/>
      <c r="O162" s="193"/>
      <c r="P162" s="193"/>
      <c r="S162" t="b">
        <f t="shared" ref="S162:S181" si="20">T162=Y162</f>
        <v>1</v>
      </c>
    </row>
    <row r="163" spans="3:25" x14ac:dyDescent="0.3">
      <c r="C163" s="270"/>
      <c r="E163" s="193"/>
      <c r="F163" s="193"/>
      <c r="G163" s="193"/>
      <c r="H163" s="193"/>
      <c r="I163" s="193"/>
      <c r="J163" s="193"/>
      <c r="K163" s="193"/>
      <c r="L163" s="193"/>
      <c r="M163" s="193"/>
      <c r="N163" s="193"/>
      <c r="O163" s="193"/>
      <c r="P163" s="193"/>
      <c r="S163" t="b">
        <f t="shared" si="20"/>
        <v>1</v>
      </c>
    </row>
    <row r="164" spans="3:25" x14ac:dyDescent="0.3">
      <c r="C164" s="270"/>
      <c r="E164" s="193"/>
      <c r="F164" s="193"/>
      <c r="G164" s="193"/>
      <c r="H164" s="193"/>
      <c r="I164" s="193"/>
      <c r="J164" s="193"/>
      <c r="K164" s="193"/>
      <c r="L164" s="193"/>
      <c r="M164" s="193"/>
      <c r="N164" s="193"/>
      <c r="O164" s="193"/>
      <c r="P164" s="193"/>
      <c r="S164" t="b">
        <f t="shared" si="20"/>
        <v>1</v>
      </c>
    </row>
    <row r="165" spans="3:25" x14ac:dyDescent="0.3">
      <c r="C165" s="270"/>
      <c r="E165" s="193"/>
      <c r="F165" s="193"/>
      <c r="G165" s="193"/>
      <c r="H165" s="193"/>
      <c r="I165" s="193"/>
      <c r="J165" s="193"/>
      <c r="K165" s="193"/>
      <c r="L165" s="193"/>
      <c r="M165" s="193"/>
      <c r="N165" s="193"/>
      <c r="O165" s="193"/>
      <c r="P165" s="193"/>
      <c r="S165" t="b">
        <f t="shared" si="20"/>
        <v>1</v>
      </c>
    </row>
    <row r="166" spans="3:25" x14ac:dyDescent="0.3">
      <c r="C166" s="270"/>
      <c r="E166" s="193"/>
      <c r="F166" s="193"/>
      <c r="G166" s="193"/>
      <c r="H166" s="193"/>
      <c r="I166" s="193"/>
      <c r="J166" s="193"/>
      <c r="K166" s="193"/>
      <c r="L166" s="193"/>
      <c r="M166" s="193"/>
      <c r="N166" s="193"/>
      <c r="O166" s="193"/>
      <c r="P166" s="193"/>
      <c r="S166" t="b">
        <f t="shared" si="20"/>
        <v>1</v>
      </c>
    </row>
    <row r="167" spans="3:25" x14ac:dyDescent="0.3">
      <c r="C167" s="270"/>
      <c r="E167" s="193"/>
      <c r="F167" s="193"/>
      <c r="G167" s="193"/>
      <c r="H167" s="193"/>
      <c r="I167" s="193"/>
      <c r="J167" s="193"/>
      <c r="K167" s="193"/>
      <c r="L167" s="193"/>
      <c r="M167" s="193"/>
      <c r="N167" s="193"/>
      <c r="O167" s="193"/>
      <c r="P167" s="193"/>
      <c r="S167" t="b">
        <f t="shared" si="20"/>
        <v>1</v>
      </c>
    </row>
    <row r="168" spans="3:25" x14ac:dyDescent="0.3">
      <c r="C168" s="270"/>
      <c r="E168" s="193"/>
      <c r="F168" s="193"/>
      <c r="G168" s="193"/>
      <c r="H168" s="193"/>
      <c r="I168" s="193"/>
      <c r="J168" s="193"/>
      <c r="K168" s="193"/>
      <c r="L168" s="193"/>
      <c r="M168" s="193"/>
      <c r="N168" s="193"/>
      <c r="O168" s="193"/>
      <c r="P168" s="193"/>
      <c r="S168" t="b">
        <f t="shared" si="20"/>
        <v>1</v>
      </c>
    </row>
    <row r="169" spans="3:25" x14ac:dyDescent="0.3">
      <c r="C169" s="270"/>
      <c r="E169" s="193"/>
      <c r="F169" s="193"/>
      <c r="G169" s="193"/>
      <c r="H169" s="193"/>
      <c r="I169" s="193"/>
      <c r="J169" s="193"/>
      <c r="K169" s="193"/>
      <c r="L169" s="193"/>
      <c r="M169" s="193"/>
      <c r="N169" s="193"/>
      <c r="O169" s="193"/>
      <c r="P169" s="193"/>
      <c r="S169" t="b">
        <f t="shared" si="20"/>
        <v>1</v>
      </c>
    </row>
    <row r="170" spans="3:25" x14ac:dyDescent="0.3">
      <c r="C170" s="270"/>
      <c r="E170" s="193"/>
      <c r="F170" s="193"/>
      <c r="G170" s="193"/>
      <c r="H170" s="193"/>
      <c r="I170" s="193"/>
      <c r="J170" s="193"/>
      <c r="K170" s="193"/>
      <c r="L170" s="193"/>
      <c r="M170" s="193"/>
      <c r="N170" s="193"/>
      <c r="O170" s="193"/>
      <c r="P170" s="193"/>
      <c r="S170" t="b">
        <f t="shared" si="20"/>
        <v>1</v>
      </c>
    </row>
    <row r="171" spans="3:25" x14ac:dyDescent="0.3">
      <c r="C171" s="270"/>
      <c r="E171" s="193"/>
      <c r="F171" s="193"/>
      <c r="G171" s="193"/>
      <c r="H171" s="193"/>
      <c r="I171" s="193"/>
      <c r="J171" s="193"/>
      <c r="K171" s="193"/>
      <c r="L171" s="193"/>
      <c r="M171" s="193"/>
      <c r="N171" s="193"/>
      <c r="O171" s="193"/>
      <c r="P171" s="193"/>
      <c r="S171" t="b">
        <f t="shared" si="20"/>
        <v>1</v>
      </c>
    </row>
    <row r="172" spans="3:25" x14ac:dyDescent="0.3">
      <c r="C172" s="270"/>
      <c r="E172" s="193"/>
      <c r="F172" s="193"/>
      <c r="G172" s="193"/>
      <c r="H172" s="193"/>
      <c r="I172" s="193"/>
      <c r="J172" s="193"/>
      <c r="K172" s="193"/>
      <c r="L172" s="193"/>
      <c r="M172" s="193"/>
      <c r="N172" s="193"/>
      <c r="O172" s="193"/>
      <c r="P172" s="193"/>
      <c r="S172" t="b">
        <f t="shared" si="20"/>
        <v>1</v>
      </c>
    </row>
    <row r="173" spans="3:25" x14ac:dyDescent="0.3">
      <c r="C173" s="270"/>
      <c r="S173" t="b">
        <f t="shared" si="20"/>
        <v>1</v>
      </c>
    </row>
    <row r="174" spans="3:25" x14ac:dyDescent="0.3">
      <c r="C174" s="270"/>
      <c r="S174" t="b">
        <f t="shared" si="20"/>
        <v>1</v>
      </c>
    </row>
    <row r="175" spans="3:25" x14ac:dyDescent="0.3">
      <c r="C175" s="270"/>
      <c r="S175" t="b">
        <f t="shared" si="20"/>
        <v>1</v>
      </c>
    </row>
    <row r="176" spans="3:25" x14ac:dyDescent="0.3">
      <c r="C176" s="270"/>
      <c r="S176" t="b">
        <f t="shared" si="20"/>
        <v>1</v>
      </c>
    </row>
    <row r="177" spans="3:19" x14ac:dyDescent="0.3">
      <c r="C177" s="270"/>
      <c r="S177" t="b">
        <f t="shared" si="20"/>
        <v>1</v>
      </c>
    </row>
    <row r="178" spans="3:19" x14ac:dyDescent="0.3">
      <c r="C178" s="270"/>
      <c r="S178" t="b">
        <f t="shared" si="20"/>
        <v>1</v>
      </c>
    </row>
    <row r="179" spans="3:19" x14ac:dyDescent="0.3">
      <c r="C179" s="270"/>
      <c r="S179" t="b">
        <f t="shared" si="20"/>
        <v>1</v>
      </c>
    </row>
    <row r="180" spans="3:19" x14ac:dyDescent="0.3">
      <c r="C180" s="270"/>
      <c r="S180" t="b">
        <f t="shared" si="20"/>
        <v>1</v>
      </c>
    </row>
    <row r="181" spans="3:19" x14ac:dyDescent="0.3">
      <c r="C181" s="270"/>
      <c r="S181" t="b">
        <f t="shared" si="20"/>
        <v>1</v>
      </c>
    </row>
    <row r="182" spans="3:19" x14ac:dyDescent="0.3">
      <c r="C182" s="270"/>
    </row>
    <row r="183" spans="3:19" x14ac:dyDescent="0.3">
      <c r="C183" s="270"/>
    </row>
    <row r="184" spans="3:19" x14ac:dyDescent="0.3">
      <c r="C184" s="270"/>
    </row>
    <row r="185" spans="3:19" x14ac:dyDescent="0.3">
      <c r="C185" s="270"/>
    </row>
    <row r="186" spans="3:19" x14ac:dyDescent="0.3">
      <c r="C186" s="270"/>
    </row>
    <row r="187" spans="3:19" x14ac:dyDescent="0.3">
      <c r="C187" s="270"/>
    </row>
    <row r="188" spans="3:19" x14ac:dyDescent="0.3">
      <c r="C188" s="270"/>
    </row>
    <row r="189" spans="3:19" x14ac:dyDescent="0.3">
      <c r="C189" s="270"/>
    </row>
    <row r="190" spans="3:19" x14ac:dyDescent="0.3">
      <c r="C190" s="270"/>
    </row>
    <row r="191" spans="3:19" x14ac:dyDescent="0.3">
      <c r="C191" s="270"/>
    </row>
    <row r="192" spans="3:19" x14ac:dyDescent="0.3">
      <c r="C192" s="270"/>
    </row>
    <row r="193" spans="3:3" x14ac:dyDescent="0.3">
      <c r="C193" s="270"/>
    </row>
    <row r="194" spans="3:3" x14ac:dyDescent="0.3">
      <c r="C194" s="270"/>
    </row>
    <row r="195" spans="3:3" x14ac:dyDescent="0.3">
      <c r="C195" s="270"/>
    </row>
    <row r="196" spans="3:3" x14ac:dyDescent="0.3">
      <c r="C196" s="270"/>
    </row>
    <row r="197" spans="3:3" x14ac:dyDescent="0.3">
      <c r="C197" s="270"/>
    </row>
    <row r="198" spans="3:3" x14ac:dyDescent="0.3">
      <c r="C198" s="270"/>
    </row>
    <row r="199" spans="3:3" x14ac:dyDescent="0.3">
      <c r="C199" s="270"/>
    </row>
    <row r="200" spans="3:3" x14ac:dyDescent="0.3">
      <c r="C200" s="270"/>
    </row>
    <row r="201" spans="3:3" x14ac:dyDescent="0.3">
      <c r="C201" s="270"/>
    </row>
    <row r="202" spans="3:3" x14ac:dyDescent="0.3">
      <c r="C202" s="270"/>
    </row>
    <row r="203" spans="3:3" x14ac:dyDescent="0.3">
      <c r="C203" s="270"/>
    </row>
  </sheetData>
  <conditionalFormatting sqref="S97:S181">
    <cfRule type="containsText" dxfId="4" priority="1" operator="containsText" text="FAL">
      <formula>NOT(ISERROR(SEARCH("FAL",S97)))</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ABE79-8677-4244-9484-A04BA62EE3D4}">
  <sheetPr>
    <tabColor theme="0" tint="-0.34998626667073579"/>
  </sheetPr>
  <dimension ref="B1:S386"/>
  <sheetViews>
    <sheetView showGridLines="0" workbookViewId="0">
      <selection activeCell="D3" sqref="D3"/>
    </sheetView>
  </sheetViews>
  <sheetFormatPr defaultColWidth="10.33203125" defaultRowHeight="15.6" x14ac:dyDescent="0.3"/>
  <cols>
    <col min="1" max="1" width="2.88671875" style="201" customWidth="1"/>
    <col min="2" max="2" width="9.88671875" style="201" customWidth="1"/>
    <col min="3" max="3" width="15.88671875" style="201" customWidth="1"/>
    <col min="4" max="4" width="18.44140625" style="201" customWidth="1"/>
    <col min="5" max="5" width="15.88671875" style="201" customWidth="1"/>
    <col min="6" max="6" width="17.6640625" style="201" bestFit="1" customWidth="1"/>
    <col min="7" max="8" width="15.88671875" style="201" customWidth="1"/>
    <col min="9" max="9" width="14.109375" style="201" bestFit="1" customWidth="1"/>
    <col min="10" max="10" width="15.88671875" style="201" customWidth="1"/>
    <col min="11" max="11" width="10.33203125" style="201"/>
    <col min="12" max="14" width="16.33203125" style="201" bestFit="1" customWidth="1"/>
    <col min="15" max="15" width="15" style="201" bestFit="1" customWidth="1"/>
    <col min="16" max="16" width="11.5546875" style="201" bestFit="1" customWidth="1"/>
    <col min="17" max="17" width="10.33203125" style="201"/>
    <col min="18" max="18" width="18.88671875" style="201" bestFit="1" customWidth="1"/>
    <col min="19" max="19" width="16.88671875" style="201" bestFit="1" customWidth="1"/>
    <col min="20" max="16384" width="10.33203125" style="201"/>
  </cols>
  <sheetData>
    <row r="1" spans="2:18" ht="16.2" thickBot="1" x14ac:dyDescent="0.35"/>
    <row r="2" spans="2:18" x14ac:dyDescent="0.3">
      <c r="B2" s="202" t="s">
        <v>0</v>
      </c>
      <c r="C2" s="203"/>
      <c r="D2" s="204"/>
    </row>
    <row r="3" spans="2:18" x14ac:dyDescent="0.3">
      <c r="B3" s="205" t="s">
        <v>1</v>
      </c>
      <c r="C3" s="206"/>
      <c r="D3" s="207">
        <f>'Property Summary'!D12</f>
        <v>1069604922.0076392</v>
      </c>
    </row>
    <row r="4" spans="2:18" x14ac:dyDescent="0.3">
      <c r="B4" s="205" t="s">
        <v>2</v>
      </c>
      <c r="C4" s="206"/>
      <c r="D4" s="208">
        <f>'Property Summary'!B15</f>
        <v>7.0000000000000007E-2</v>
      </c>
    </row>
    <row r="5" spans="2:18" x14ac:dyDescent="0.3">
      <c r="B5" s="205" t="s">
        <v>3</v>
      </c>
      <c r="C5" s="206"/>
      <c r="D5" s="209">
        <f>'Property Summary'!D13</f>
        <v>10</v>
      </c>
    </row>
    <row r="6" spans="2:18" x14ac:dyDescent="0.3">
      <c r="B6" s="205" t="s">
        <v>15</v>
      </c>
      <c r="C6" s="206"/>
      <c r="D6" s="209">
        <f>'Property Summary'!D14</f>
        <v>3</v>
      </c>
    </row>
    <row r="7" spans="2:18" x14ac:dyDescent="0.3">
      <c r="B7" s="205" t="s">
        <v>4</v>
      </c>
      <c r="C7" s="206"/>
      <c r="D7" s="209">
        <f>'Property Summary'!D15</f>
        <v>30</v>
      </c>
    </row>
    <row r="8" spans="2:18" x14ac:dyDescent="0.3">
      <c r="B8" s="205" t="s">
        <v>16</v>
      </c>
      <c r="C8" s="206"/>
      <c r="D8" s="210">
        <f>PMT(D4/12,D7*12,-D3,0)</f>
        <v>7116108.2346761795</v>
      </c>
      <c r="P8" s="211"/>
    </row>
    <row r="9" spans="2:18" ht="16.2" thickBot="1" x14ac:dyDescent="0.35">
      <c r="B9" s="212" t="s">
        <v>17</v>
      </c>
      <c r="C9" s="213"/>
      <c r="D9" s="214">
        <f>D8*12</f>
        <v>85393298.816114157</v>
      </c>
      <c r="M9" s="215"/>
      <c r="O9" s="215"/>
      <c r="P9" s="216"/>
    </row>
    <row r="10" spans="2:18" x14ac:dyDescent="0.3">
      <c r="B10" s="206"/>
      <c r="C10" s="206"/>
      <c r="D10" s="217"/>
      <c r="M10" s="216"/>
      <c r="O10" s="215"/>
      <c r="P10" s="216"/>
    </row>
    <row r="11" spans="2:18" x14ac:dyDescent="0.3">
      <c r="B11" s="206"/>
      <c r="C11" s="206"/>
      <c r="D11" s="217"/>
      <c r="O11" s="215"/>
      <c r="P11" s="216"/>
    </row>
    <row r="12" spans="2:18" x14ac:dyDescent="0.3">
      <c r="B12" s="206"/>
      <c r="C12" s="206"/>
      <c r="D12" s="217"/>
      <c r="N12" s="218"/>
      <c r="O12" s="215"/>
      <c r="P12" s="216"/>
    </row>
    <row r="13" spans="2:18" x14ac:dyDescent="0.3">
      <c r="B13" s="206"/>
      <c r="C13" s="206"/>
      <c r="D13" s="217"/>
      <c r="O13" s="215"/>
      <c r="P13" s="216"/>
    </row>
    <row r="14" spans="2:18" x14ac:dyDescent="0.3">
      <c r="B14" s="206"/>
      <c r="C14" s="206"/>
      <c r="D14" s="217"/>
      <c r="O14" s="215"/>
      <c r="P14" s="216"/>
      <c r="R14" s="219"/>
    </row>
    <row r="15" spans="2:18" x14ac:dyDescent="0.3">
      <c r="B15" s="206"/>
      <c r="C15" s="206"/>
      <c r="D15" s="217"/>
    </row>
    <row r="16" spans="2:18" x14ac:dyDescent="0.3">
      <c r="B16" s="206"/>
      <c r="C16" s="206"/>
      <c r="D16" s="217"/>
    </row>
    <row r="17" spans="2:17" x14ac:dyDescent="0.3">
      <c r="B17" s="206"/>
      <c r="C17" s="206"/>
      <c r="D17" s="217"/>
    </row>
    <row r="18" spans="2:17" x14ac:dyDescent="0.3">
      <c r="B18" s="206"/>
      <c r="C18" s="206"/>
      <c r="D18" s="217"/>
    </row>
    <row r="19" spans="2:17" x14ac:dyDescent="0.3">
      <c r="B19" s="206"/>
      <c r="C19" s="206"/>
      <c r="D19" s="217"/>
    </row>
    <row r="20" spans="2:17" x14ac:dyDescent="0.3">
      <c r="B20" s="206"/>
      <c r="C20" s="206"/>
      <c r="D20" s="217"/>
    </row>
    <row r="21" spans="2:17" x14ac:dyDescent="0.3">
      <c r="B21" s="206"/>
      <c r="C21" s="206"/>
      <c r="D21" s="217"/>
    </row>
    <row r="22" spans="2:17" x14ac:dyDescent="0.3">
      <c r="B22" s="206"/>
      <c r="C22" s="206"/>
      <c r="D22" s="217"/>
      <c r="K22" s="220"/>
    </row>
    <row r="23" spans="2:17" x14ac:dyDescent="0.3">
      <c r="B23" s="221" t="s">
        <v>5</v>
      </c>
      <c r="C23" s="206"/>
      <c r="D23" s="217"/>
      <c r="K23" s="220" t="s">
        <v>6</v>
      </c>
    </row>
    <row r="24" spans="2:17" x14ac:dyDescent="0.3">
      <c r="D24" s="222"/>
    </row>
    <row r="25" spans="2:17" ht="31.2" x14ac:dyDescent="0.3">
      <c r="B25" s="223" t="s">
        <v>7</v>
      </c>
      <c r="C25" s="224" t="s">
        <v>8</v>
      </c>
      <c r="D25" s="224" t="s">
        <v>9</v>
      </c>
      <c r="E25" s="224" t="s">
        <v>10</v>
      </c>
      <c r="F25" s="224" t="s">
        <v>11</v>
      </c>
      <c r="G25" s="224" t="s">
        <v>12</v>
      </c>
      <c r="H25" s="224" t="s">
        <v>13</v>
      </c>
      <c r="I25" s="225" t="s">
        <v>14</v>
      </c>
      <c r="K25" s="223" t="s">
        <v>8</v>
      </c>
      <c r="L25" s="224" t="s">
        <v>10</v>
      </c>
      <c r="M25" s="224" t="s">
        <v>12</v>
      </c>
      <c r="N25" s="224" t="s">
        <v>13</v>
      </c>
      <c r="O25" s="226" t="s">
        <v>14</v>
      </c>
    </row>
    <row r="26" spans="2:17" x14ac:dyDescent="0.3">
      <c r="B26" s="227"/>
      <c r="C26" s="228"/>
      <c r="D26" s="229"/>
      <c r="E26" s="229"/>
      <c r="F26" s="229"/>
      <c r="G26" s="229"/>
      <c r="H26" s="229"/>
      <c r="I26" s="230">
        <f>D3</f>
        <v>1069604922.0076392</v>
      </c>
      <c r="K26" s="231"/>
      <c r="L26" s="229"/>
      <c r="M26" s="229"/>
      <c r="N26" s="229"/>
      <c r="O26" s="232"/>
    </row>
    <row r="27" spans="2:17" x14ac:dyDescent="0.3">
      <c r="B27" s="233">
        <v>1</v>
      </c>
      <c r="C27" s="234">
        <v>1</v>
      </c>
      <c r="D27" s="235">
        <f>I26</f>
        <v>1069604922.0076392</v>
      </c>
      <c r="E27" s="235">
        <f>IF(B27&gt;($D$5*12),0,IF(B27&lt;$D$6*12+1,D27*($D$4/12),$D$8))</f>
        <v>6239362.0450445618</v>
      </c>
      <c r="F27" s="235">
        <f>IF(B27=($D$5*12),D27-H27,0)</f>
        <v>0</v>
      </c>
      <c r="G27" s="235">
        <f>$D$4/12*D27</f>
        <v>6239362.0450445618</v>
      </c>
      <c r="H27" s="235">
        <f>IF(B27&lt;($D$6*12+1),0,E27-G27)</f>
        <v>0</v>
      </c>
      <c r="I27" s="236">
        <f>D27-H27-F27</f>
        <v>1069604922.0076392</v>
      </c>
      <c r="K27" s="237">
        <v>1</v>
      </c>
      <c r="L27" s="235">
        <f>SUMIF($C$27:$C$386,$K27,$E$27:$E$386)</f>
        <v>74872344.54053475</v>
      </c>
      <c r="M27" s="235">
        <f>SUMIF($C$27:$C$386,$K27,$G$27:$G$386)</f>
        <v>74872344.54053475</v>
      </c>
      <c r="N27" s="238">
        <f>SUMIF($C$27:$C$386,$K27,$H$27:$H$386)</f>
        <v>0</v>
      </c>
      <c r="O27" s="239">
        <f>VLOOKUP(Q27,$B$27:$I$386,7,FALSE)</f>
        <v>0</v>
      </c>
      <c r="Q27" s="201">
        <f>K27*12</f>
        <v>12</v>
      </c>
    </row>
    <row r="28" spans="2:17" x14ac:dyDescent="0.3">
      <c r="B28" s="233">
        <f>B27+1</f>
        <v>2</v>
      </c>
      <c r="C28" s="234">
        <v>1</v>
      </c>
      <c r="D28" s="235">
        <f t="shared" ref="D28:D91" si="0">I27</f>
        <v>1069604922.0076392</v>
      </c>
      <c r="E28" s="235">
        <f t="shared" ref="E28:E91" si="1">IF(B28&gt;($D$5*12),0,IF(B28&lt;$D$6*12+1,D28*($D$4/12),$D$8))</f>
        <v>6239362.0450445618</v>
      </c>
      <c r="F28" s="235">
        <f t="shared" ref="F28:F91" si="2">IF(B28=($D$5*12),D28-H28,0)</f>
        <v>0</v>
      </c>
      <c r="G28" s="235">
        <f t="shared" ref="G28:G91" si="3">$D$4/12*D28</f>
        <v>6239362.0450445618</v>
      </c>
      <c r="H28" s="235">
        <f t="shared" ref="H28:H91" si="4">IF(B28&lt;($D$6*12+1),0,E28-G28)</f>
        <v>0</v>
      </c>
      <c r="I28" s="236">
        <f t="shared" ref="I28:I91" si="5">D28-H28-F28</f>
        <v>1069604922.0076392</v>
      </c>
      <c r="K28" s="237">
        <f>K27+1</f>
        <v>2</v>
      </c>
      <c r="L28" s="235">
        <f t="shared" ref="L28:L56" si="6">SUMIF($C$27:$C$386,$K28,$E$27:$E$386)</f>
        <v>74872344.54053475</v>
      </c>
      <c r="M28" s="235">
        <f t="shared" ref="M28:M56" si="7">SUMIF($C$27:$C$386,$K28,$G$27:$G$386)</f>
        <v>74872344.54053475</v>
      </c>
      <c r="N28" s="238">
        <f t="shared" ref="N28:N56" si="8">SUMIF($C$27:$C$386,$K28,$H$27:$H$386)</f>
        <v>0</v>
      </c>
      <c r="O28" s="239">
        <f t="shared" ref="O28:O56" si="9">VLOOKUP(Q28,$B$27:$I$386,7,FALSE)</f>
        <v>0</v>
      </c>
      <c r="Q28" s="201">
        <f t="shared" ref="Q28:Q56" si="10">K28*12</f>
        <v>24</v>
      </c>
    </row>
    <row r="29" spans="2:17" x14ac:dyDescent="0.3">
      <c r="B29" s="233">
        <f t="shared" ref="B29:B92" si="11">B28+1</f>
        <v>3</v>
      </c>
      <c r="C29" s="234">
        <v>1</v>
      </c>
      <c r="D29" s="235">
        <f t="shared" si="0"/>
        <v>1069604922.0076392</v>
      </c>
      <c r="E29" s="235">
        <f t="shared" si="1"/>
        <v>6239362.0450445618</v>
      </c>
      <c r="F29" s="235">
        <f t="shared" si="2"/>
        <v>0</v>
      </c>
      <c r="G29" s="235">
        <f t="shared" si="3"/>
        <v>6239362.0450445618</v>
      </c>
      <c r="H29" s="235">
        <f t="shared" si="4"/>
        <v>0</v>
      </c>
      <c r="I29" s="236">
        <f t="shared" si="5"/>
        <v>1069604922.0076392</v>
      </c>
      <c r="K29" s="237">
        <f t="shared" ref="K29:K56" si="12">K28+1</f>
        <v>3</v>
      </c>
      <c r="L29" s="235">
        <f t="shared" si="6"/>
        <v>74872344.54053475</v>
      </c>
      <c r="M29" s="235">
        <f t="shared" si="7"/>
        <v>74872344.54053475</v>
      </c>
      <c r="N29" s="238">
        <f t="shared" si="8"/>
        <v>0</v>
      </c>
      <c r="O29" s="239">
        <f t="shared" si="9"/>
        <v>0</v>
      </c>
      <c r="Q29" s="201">
        <f t="shared" si="10"/>
        <v>36</v>
      </c>
    </row>
    <row r="30" spans="2:17" x14ac:dyDescent="0.3">
      <c r="B30" s="233">
        <f t="shared" si="11"/>
        <v>4</v>
      </c>
      <c r="C30" s="234">
        <v>1</v>
      </c>
      <c r="D30" s="235">
        <f t="shared" si="0"/>
        <v>1069604922.0076392</v>
      </c>
      <c r="E30" s="235">
        <f t="shared" si="1"/>
        <v>6239362.0450445618</v>
      </c>
      <c r="F30" s="235">
        <f t="shared" si="2"/>
        <v>0</v>
      </c>
      <c r="G30" s="235">
        <f t="shared" si="3"/>
        <v>6239362.0450445618</v>
      </c>
      <c r="H30" s="235">
        <f t="shared" si="4"/>
        <v>0</v>
      </c>
      <c r="I30" s="236">
        <f t="shared" si="5"/>
        <v>1069604922.0076392</v>
      </c>
      <c r="J30" s="219"/>
      <c r="K30" s="237">
        <f t="shared" si="12"/>
        <v>4</v>
      </c>
      <c r="L30" s="235">
        <f t="shared" si="6"/>
        <v>85393298.816114172</v>
      </c>
      <c r="M30" s="235">
        <f t="shared" si="7"/>
        <v>74528146.883737117</v>
      </c>
      <c r="N30" s="238">
        <f t="shared" si="8"/>
        <v>10865151.93237705</v>
      </c>
      <c r="O30" s="239">
        <f t="shared" si="9"/>
        <v>934673.97770056315</v>
      </c>
      <c r="Q30" s="201">
        <f t="shared" si="10"/>
        <v>48</v>
      </c>
    </row>
    <row r="31" spans="2:17" x14ac:dyDescent="0.3">
      <c r="B31" s="233">
        <f t="shared" si="11"/>
        <v>5</v>
      </c>
      <c r="C31" s="234">
        <v>1</v>
      </c>
      <c r="D31" s="235">
        <f t="shared" si="0"/>
        <v>1069604922.0076392</v>
      </c>
      <c r="E31" s="235">
        <f t="shared" si="1"/>
        <v>6239362.0450445618</v>
      </c>
      <c r="F31" s="235">
        <f t="shared" si="2"/>
        <v>0</v>
      </c>
      <c r="G31" s="235">
        <f t="shared" si="3"/>
        <v>6239362.0450445618</v>
      </c>
      <c r="H31" s="235">
        <f t="shared" si="4"/>
        <v>0</v>
      </c>
      <c r="I31" s="236">
        <f t="shared" si="5"/>
        <v>1069604922.0076392</v>
      </c>
      <c r="K31" s="237">
        <f t="shared" si="12"/>
        <v>5</v>
      </c>
      <c r="L31" s="235">
        <f t="shared" si="6"/>
        <v>85393298.816114172</v>
      </c>
      <c r="M31" s="235">
        <f t="shared" si="7"/>
        <v>73742704.17203027</v>
      </c>
      <c r="N31" s="238">
        <f t="shared" si="8"/>
        <v>11650594.644083872</v>
      </c>
      <c r="O31" s="239">
        <f t="shared" si="9"/>
        <v>1002241.6351227565</v>
      </c>
      <c r="Q31" s="201">
        <f t="shared" si="10"/>
        <v>60</v>
      </c>
    </row>
    <row r="32" spans="2:17" x14ac:dyDescent="0.3">
      <c r="B32" s="233">
        <f t="shared" si="11"/>
        <v>6</v>
      </c>
      <c r="C32" s="234">
        <v>1</v>
      </c>
      <c r="D32" s="235">
        <f t="shared" si="0"/>
        <v>1069604922.0076392</v>
      </c>
      <c r="E32" s="235">
        <f t="shared" si="1"/>
        <v>6239362.0450445618</v>
      </c>
      <c r="F32" s="235">
        <f t="shared" si="2"/>
        <v>0</v>
      </c>
      <c r="G32" s="235">
        <f t="shared" si="3"/>
        <v>6239362.0450445618</v>
      </c>
      <c r="H32" s="235">
        <f t="shared" si="4"/>
        <v>0</v>
      </c>
      <c r="I32" s="236">
        <f t="shared" si="5"/>
        <v>1069604922.0076392</v>
      </c>
      <c r="K32" s="237">
        <f t="shared" si="12"/>
        <v>6</v>
      </c>
      <c r="L32" s="235">
        <f t="shared" si="6"/>
        <v>85393298.816114172</v>
      </c>
      <c r="M32" s="235">
        <f t="shared" si="7"/>
        <v>72900481.743186221</v>
      </c>
      <c r="N32" s="238">
        <f t="shared" si="8"/>
        <v>12492817.072927926</v>
      </c>
      <c r="O32" s="239">
        <f t="shared" si="9"/>
        <v>1074693.7639632672</v>
      </c>
      <c r="Q32" s="201">
        <f t="shared" si="10"/>
        <v>72</v>
      </c>
    </row>
    <row r="33" spans="2:19" x14ac:dyDescent="0.3">
      <c r="B33" s="233">
        <f t="shared" si="11"/>
        <v>7</v>
      </c>
      <c r="C33" s="234">
        <v>1</v>
      </c>
      <c r="D33" s="235">
        <f t="shared" si="0"/>
        <v>1069604922.0076392</v>
      </c>
      <c r="E33" s="235">
        <f t="shared" si="1"/>
        <v>6239362.0450445618</v>
      </c>
      <c r="F33" s="235">
        <f t="shared" si="2"/>
        <v>0</v>
      </c>
      <c r="G33" s="235">
        <f t="shared" si="3"/>
        <v>6239362.0450445618</v>
      </c>
      <c r="H33" s="235">
        <f t="shared" si="4"/>
        <v>0</v>
      </c>
      <c r="I33" s="236">
        <f t="shared" si="5"/>
        <v>1069604922.0076392</v>
      </c>
      <c r="K33" s="237">
        <f t="shared" si="12"/>
        <v>7</v>
      </c>
      <c r="L33" s="235">
        <f t="shared" si="6"/>
        <v>85393298.816114172</v>
      </c>
      <c r="M33" s="235">
        <f t="shared" si="7"/>
        <v>71997374.986862093</v>
      </c>
      <c r="N33" s="238">
        <f t="shared" si="8"/>
        <v>13395923.829252061</v>
      </c>
      <c r="O33" s="239">
        <f t="shared" si="9"/>
        <v>1152383.4630558649</v>
      </c>
      <c r="Q33" s="201">
        <f t="shared" si="10"/>
        <v>84</v>
      </c>
    </row>
    <row r="34" spans="2:19" x14ac:dyDescent="0.3">
      <c r="B34" s="233">
        <f t="shared" si="11"/>
        <v>8</v>
      </c>
      <c r="C34" s="234">
        <v>1</v>
      </c>
      <c r="D34" s="235">
        <f t="shared" si="0"/>
        <v>1069604922.0076392</v>
      </c>
      <c r="E34" s="235">
        <f t="shared" si="1"/>
        <v>6239362.0450445618</v>
      </c>
      <c r="F34" s="235">
        <f t="shared" si="2"/>
        <v>0</v>
      </c>
      <c r="G34" s="235">
        <f t="shared" si="3"/>
        <v>6239362.0450445618</v>
      </c>
      <c r="H34" s="235">
        <f t="shared" si="4"/>
        <v>0</v>
      </c>
      <c r="I34" s="236">
        <f t="shared" si="5"/>
        <v>1069604922.0076392</v>
      </c>
      <c r="K34" s="237">
        <f t="shared" si="12"/>
        <v>8</v>
      </c>
      <c r="L34" s="235">
        <f t="shared" si="6"/>
        <v>85393298.816114172</v>
      </c>
      <c r="M34" s="235">
        <f t="shared" si="7"/>
        <v>71028982.5701015</v>
      </c>
      <c r="N34" s="238">
        <f t="shared" si="8"/>
        <v>14364316.246012663</v>
      </c>
      <c r="O34" s="239">
        <f t="shared" si="9"/>
        <v>1235689.3567775618</v>
      </c>
      <c r="Q34" s="201">
        <f t="shared" si="10"/>
        <v>96</v>
      </c>
    </row>
    <row r="35" spans="2:19" x14ac:dyDescent="0.3">
      <c r="B35" s="233">
        <f t="shared" si="11"/>
        <v>9</v>
      </c>
      <c r="C35" s="234">
        <v>1</v>
      </c>
      <c r="D35" s="235">
        <f t="shared" si="0"/>
        <v>1069604922.0076392</v>
      </c>
      <c r="E35" s="235">
        <f t="shared" si="1"/>
        <v>6239362.0450445618</v>
      </c>
      <c r="F35" s="235">
        <f t="shared" si="2"/>
        <v>0</v>
      </c>
      <c r="G35" s="235">
        <f t="shared" si="3"/>
        <v>6239362.0450445618</v>
      </c>
      <c r="H35" s="235">
        <f t="shared" si="4"/>
        <v>0</v>
      </c>
      <c r="I35" s="236">
        <f t="shared" si="5"/>
        <v>1069604922.0076392</v>
      </c>
      <c r="K35" s="237">
        <f t="shared" si="12"/>
        <v>9</v>
      </c>
      <c r="L35" s="235">
        <f t="shared" si="6"/>
        <v>85393298.816114172</v>
      </c>
      <c r="M35" s="235">
        <f t="shared" si="7"/>
        <v>69990584.9872327</v>
      </c>
      <c r="N35" s="238">
        <f t="shared" si="8"/>
        <v>15402713.828881457</v>
      </c>
      <c r="O35" s="239">
        <f t="shared" si="9"/>
        <v>1325017.440292201</v>
      </c>
      <c r="Q35" s="201">
        <f t="shared" si="10"/>
        <v>108</v>
      </c>
    </row>
    <row r="36" spans="2:19" x14ac:dyDescent="0.3">
      <c r="B36" s="233">
        <f t="shared" si="11"/>
        <v>10</v>
      </c>
      <c r="C36" s="234">
        <v>1</v>
      </c>
      <c r="D36" s="235">
        <f t="shared" si="0"/>
        <v>1069604922.0076392</v>
      </c>
      <c r="E36" s="235">
        <f t="shared" si="1"/>
        <v>6239362.0450445618</v>
      </c>
      <c r="F36" s="235">
        <f t="shared" si="2"/>
        <v>0</v>
      </c>
      <c r="G36" s="235">
        <f t="shared" si="3"/>
        <v>6239362.0450445618</v>
      </c>
      <c r="H36" s="235">
        <f t="shared" si="4"/>
        <v>0</v>
      </c>
      <c r="I36" s="236">
        <f t="shared" si="5"/>
        <v>1069604922.0076392</v>
      </c>
      <c r="K36" s="237">
        <f t="shared" si="12"/>
        <v>10</v>
      </c>
      <c r="L36" s="235">
        <f t="shared" si="6"/>
        <v>85393298.816114172</v>
      </c>
      <c r="M36" s="235">
        <f t="shared" si="7"/>
        <v>68877121.559137404</v>
      </c>
      <c r="N36" s="238">
        <f t="shared" si="8"/>
        <v>16516177.256976757</v>
      </c>
      <c r="O36" s="239">
        <f t="shared" si="9"/>
        <v>1420803.0581868468</v>
      </c>
      <c r="Q36" s="201">
        <f t="shared" si="10"/>
        <v>120</v>
      </c>
      <c r="S36" s="240">
        <f>SUM(F27:F386)</f>
        <v>974917227.19712722</v>
      </c>
    </row>
    <row r="37" spans="2:19" x14ac:dyDescent="0.3">
      <c r="B37" s="233">
        <f t="shared" si="11"/>
        <v>11</v>
      </c>
      <c r="C37" s="234">
        <v>1</v>
      </c>
      <c r="D37" s="235">
        <f t="shared" si="0"/>
        <v>1069604922.0076392</v>
      </c>
      <c r="E37" s="235">
        <f t="shared" si="1"/>
        <v>6239362.0450445618</v>
      </c>
      <c r="F37" s="235">
        <f t="shared" si="2"/>
        <v>0</v>
      </c>
      <c r="G37" s="235">
        <f t="shared" si="3"/>
        <v>6239362.0450445618</v>
      </c>
      <c r="H37" s="235">
        <f t="shared" si="4"/>
        <v>0</v>
      </c>
      <c r="I37" s="236">
        <f t="shared" si="5"/>
        <v>1069604922.0076392</v>
      </c>
      <c r="K37" s="237">
        <f t="shared" si="12"/>
        <v>11</v>
      </c>
      <c r="L37" s="235">
        <f t="shared" si="6"/>
        <v>0</v>
      </c>
      <c r="M37" s="235">
        <f t="shared" si="7"/>
        <v>0</v>
      </c>
      <c r="N37" s="238">
        <f t="shared" si="8"/>
        <v>0</v>
      </c>
      <c r="O37" s="239">
        <f t="shared" si="9"/>
        <v>0</v>
      </c>
      <c r="Q37" s="201">
        <f t="shared" si="10"/>
        <v>132</v>
      </c>
    </row>
    <row r="38" spans="2:19" x14ac:dyDescent="0.3">
      <c r="B38" s="233">
        <f t="shared" si="11"/>
        <v>12</v>
      </c>
      <c r="C38" s="234">
        <v>1</v>
      </c>
      <c r="D38" s="235">
        <f t="shared" si="0"/>
        <v>1069604922.0076392</v>
      </c>
      <c r="E38" s="235">
        <f t="shared" si="1"/>
        <v>6239362.0450445618</v>
      </c>
      <c r="F38" s="235">
        <f t="shared" si="2"/>
        <v>0</v>
      </c>
      <c r="G38" s="235">
        <f t="shared" si="3"/>
        <v>6239362.0450445618</v>
      </c>
      <c r="H38" s="235">
        <f t="shared" si="4"/>
        <v>0</v>
      </c>
      <c r="I38" s="236">
        <f t="shared" si="5"/>
        <v>1069604922.0076392</v>
      </c>
      <c r="K38" s="237">
        <f t="shared" si="12"/>
        <v>12</v>
      </c>
      <c r="L38" s="235">
        <f t="shared" si="6"/>
        <v>0</v>
      </c>
      <c r="M38" s="235">
        <f t="shared" si="7"/>
        <v>0</v>
      </c>
      <c r="N38" s="238">
        <f t="shared" si="8"/>
        <v>0</v>
      </c>
      <c r="O38" s="239">
        <f t="shared" si="9"/>
        <v>0</v>
      </c>
      <c r="Q38" s="201">
        <f t="shared" si="10"/>
        <v>144</v>
      </c>
    </row>
    <row r="39" spans="2:19" x14ac:dyDescent="0.3">
      <c r="B39" s="233">
        <f t="shared" si="11"/>
        <v>13</v>
      </c>
      <c r="C39" s="234">
        <f>C27+1</f>
        <v>2</v>
      </c>
      <c r="D39" s="235">
        <f t="shared" si="0"/>
        <v>1069604922.0076392</v>
      </c>
      <c r="E39" s="235">
        <f t="shared" si="1"/>
        <v>6239362.0450445618</v>
      </c>
      <c r="F39" s="235">
        <f t="shared" si="2"/>
        <v>0</v>
      </c>
      <c r="G39" s="235">
        <f t="shared" si="3"/>
        <v>6239362.0450445618</v>
      </c>
      <c r="H39" s="235">
        <f t="shared" si="4"/>
        <v>0</v>
      </c>
      <c r="I39" s="236">
        <f t="shared" si="5"/>
        <v>1069604922.0076392</v>
      </c>
      <c r="K39" s="237">
        <f t="shared" si="12"/>
        <v>13</v>
      </c>
      <c r="L39" s="235">
        <f t="shared" si="6"/>
        <v>0</v>
      </c>
      <c r="M39" s="235">
        <f t="shared" si="7"/>
        <v>0</v>
      </c>
      <c r="N39" s="238">
        <f t="shared" si="8"/>
        <v>0</v>
      </c>
      <c r="O39" s="239">
        <f t="shared" si="9"/>
        <v>0</v>
      </c>
      <c r="Q39" s="201">
        <f t="shared" si="10"/>
        <v>156</v>
      </c>
    </row>
    <row r="40" spans="2:19" x14ac:dyDescent="0.3">
      <c r="B40" s="233">
        <f t="shared" si="11"/>
        <v>14</v>
      </c>
      <c r="C40" s="234">
        <f t="shared" ref="C40:C103" si="13">C28+1</f>
        <v>2</v>
      </c>
      <c r="D40" s="235">
        <f t="shared" si="0"/>
        <v>1069604922.0076392</v>
      </c>
      <c r="E40" s="235">
        <f t="shared" si="1"/>
        <v>6239362.0450445618</v>
      </c>
      <c r="F40" s="235">
        <f t="shared" si="2"/>
        <v>0</v>
      </c>
      <c r="G40" s="235">
        <f t="shared" si="3"/>
        <v>6239362.0450445618</v>
      </c>
      <c r="H40" s="235">
        <f t="shared" si="4"/>
        <v>0</v>
      </c>
      <c r="I40" s="236">
        <f t="shared" si="5"/>
        <v>1069604922.0076392</v>
      </c>
      <c r="K40" s="237">
        <f t="shared" si="12"/>
        <v>14</v>
      </c>
      <c r="L40" s="235">
        <f t="shared" si="6"/>
        <v>0</v>
      </c>
      <c r="M40" s="235">
        <f t="shared" si="7"/>
        <v>0</v>
      </c>
      <c r="N40" s="238">
        <f t="shared" si="8"/>
        <v>0</v>
      </c>
      <c r="O40" s="239">
        <f t="shared" si="9"/>
        <v>0</v>
      </c>
      <c r="Q40" s="201">
        <f t="shared" si="10"/>
        <v>168</v>
      </c>
    </row>
    <row r="41" spans="2:19" x14ac:dyDescent="0.3">
      <c r="B41" s="233">
        <f t="shared" si="11"/>
        <v>15</v>
      </c>
      <c r="C41" s="234">
        <f t="shared" si="13"/>
        <v>2</v>
      </c>
      <c r="D41" s="235">
        <f t="shared" si="0"/>
        <v>1069604922.0076392</v>
      </c>
      <c r="E41" s="235">
        <f t="shared" si="1"/>
        <v>6239362.0450445618</v>
      </c>
      <c r="F41" s="235">
        <f t="shared" si="2"/>
        <v>0</v>
      </c>
      <c r="G41" s="235">
        <f t="shared" si="3"/>
        <v>6239362.0450445618</v>
      </c>
      <c r="H41" s="235">
        <f t="shared" si="4"/>
        <v>0</v>
      </c>
      <c r="I41" s="236">
        <f t="shared" si="5"/>
        <v>1069604922.0076392</v>
      </c>
      <c r="K41" s="237">
        <f t="shared" si="12"/>
        <v>15</v>
      </c>
      <c r="L41" s="235">
        <f t="shared" si="6"/>
        <v>0</v>
      </c>
      <c r="M41" s="235">
        <f t="shared" si="7"/>
        <v>0</v>
      </c>
      <c r="N41" s="238">
        <f t="shared" si="8"/>
        <v>0</v>
      </c>
      <c r="O41" s="239">
        <f t="shared" si="9"/>
        <v>0</v>
      </c>
      <c r="Q41" s="201">
        <f t="shared" si="10"/>
        <v>180</v>
      </c>
    </row>
    <row r="42" spans="2:19" x14ac:dyDescent="0.3">
      <c r="B42" s="233">
        <f t="shared" si="11"/>
        <v>16</v>
      </c>
      <c r="C42" s="234">
        <f t="shared" si="13"/>
        <v>2</v>
      </c>
      <c r="D42" s="235">
        <f t="shared" si="0"/>
        <v>1069604922.0076392</v>
      </c>
      <c r="E42" s="235">
        <f t="shared" si="1"/>
        <v>6239362.0450445618</v>
      </c>
      <c r="F42" s="235">
        <f t="shared" si="2"/>
        <v>0</v>
      </c>
      <c r="G42" s="235">
        <f t="shared" si="3"/>
        <v>6239362.0450445618</v>
      </c>
      <c r="H42" s="235">
        <f t="shared" si="4"/>
        <v>0</v>
      </c>
      <c r="I42" s="236">
        <f t="shared" si="5"/>
        <v>1069604922.0076392</v>
      </c>
      <c r="K42" s="237">
        <f t="shared" si="12"/>
        <v>16</v>
      </c>
      <c r="L42" s="235">
        <f t="shared" si="6"/>
        <v>0</v>
      </c>
      <c r="M42" s="235">
        <f t="shared" si="7"/>
        <v>0</v>
      </c>
      <c r="N42" s="238">
        <f t="shared" si="8"/>
        <v>0</v>
      </c>
      <c r="O42" s="239">
        <f t="shared" si="9"/>
        <v>0</v>
      </c>
      <c r="Q42" s="201">
        <f t="shared" si="10"/>
        <v>192</v>
      </c>
    </row>
    <row r="43" spans="2:19" x14ac:dyDescent="0.3">
      <c r="B43" s="233">
        <f t="shared" si="11"/>
        <v>17</v>
      </c>
      <c r="C43" s="234">
        <f t="shared" si="13"/>
        <v>2</v>
      </c>
      <c r="D43" s="235">
        <f t="shared" si="0"/>
        <v>1069604922.0076392</v>
      </c>
      <c r="E43" s="235">
        <f t="shared" si="1"/>
        <v>6239362.0450445618</v>
      </c>
      <c r="F43" s="235">
        <f t="shared" si="2"/>
        <v>0</v>
      </c>
      <c r="G43" s="235">
        <f t="shared" si="3"/>
        <v>6239362.0450445618</v>
      </c>
      <c r="H43" s="235">
        <f t="shared" si="4"/>
        <v>0</v>
      </c>
      <c r="I43" s="236">
        <f t="shared" si="5"/>
        <v>1069604922.0076392</v>
      </c>
      <c r="K43" s="237">
        <f t="shared" si="12"/>
        <v>17</v>
      </c>
      <c r="L43" s="235">
        <f t="shared" si="6"/>
        <v>0</v>
      </c>
      <c r="M43" s="235">
        <f t="shared" si="7"/>
        <v>0</v>
      </c>
      <c r="N43" s="238">
        <f t="shared" si="8"/>
        <v>0</v>
      </c>
      <c r="O43" s="239">
        <f t="shared" si="9"/>
        <v>0</v>
      </c>
      <c r="Q43" s="201">
        <f t="shared" si="10"/>
        <v>204</v>
      </c>
    </row>
    <row r="44" spans="2:19" x14ac:dyDescent="0.3">
      <c r="B44" s="233">
        <f t="shared" si="11"/>
        <v>18</v>
      </c>
      <c r="C44" s="234">
        <f t="shared" si="13"/>
        <v>2</v>
      </c>
      <c r="D44" s="235">
        <f t="shared" si="0"/>
        <v>1069604922.0076392</v>
      </c>
      <c r="E44" s="235">
        <f t="shared" si="1"/>
        <v>6239362.0450445618</v>
      </c>
      <c r="F44" s="235">
        <f t="shared" si="2"/>
        <v>0</v>
      </c>
      <c r="G44" s="235">
        <f t="shared" si="3"/>
        <v>6239362.0450445618</v>
      </c>
      <c r="H44" s="235">
        <f t="shared" si="4"/>
        <v>0</v>
      </c>
      <c r="I44" s="236">
        <f t="shared" si="5"/>
        <v>1069604922.0076392</v>
      </c>
      <c r="K44" s="237">
        <f t="shared" si="12"/>
        <v>18</v>
      </c>
      <c r="L44" s="235">
        <f t="shared" si="6"/>
        <v>0</v>
      </c>
      <c r="M44" s="235">
        <f t="shared" si="7"/>
        <v>0</v>
      </c>
      <c r="N44" s="238">
        <f t="shared" si="8"/>
        <v>0</v>
      </c>
      <c r="O44" s="239">
        <f t="shared" si="9"/>
        <v>0</v>
      </c>
      <c r="Q44" s="201">
        <f t="shared" si="10"/>
        <v>216</v>
      </c>
    </row>
    <row r="45" spans="2:19" x14ac:dyDescent="0.3">
      <c r="B45" s="233">
        <f t="shared" si="11"/>
        <v>19</v>
      </c>
      <c r="C45" s="234">
        <f t="shared" si="13"/>
        <v>2</v>
      </c>
      <c r="D45" s="235">
        <f t="shared" si="0"/>
        <v>1069604922.0076392</v>
      </c>
      <c r="E45" s="235">
        <f t="shared" si="1"/>
        <v>6239362.0450445618</v>
      </c>
      <c r="F45" s="235">
        <f t="shared" si="2"/>
        <v>0</v>
      </c>
      <c r="G45" s="235">
        <f t="shared" si="3"/>
        <v>6239362.0450445618</v>
      </c>
      <c r="H45" s="235">
        <f t="shared" si="4"/>
        <v>0</v>
      </c>
      <c r="I45" s="236">
        <f t="shared" si="5"/>
        <v>1069604922.0076392</v>
      </c>
      <c r="K45" s="237">
        <f t="shared" si="12"/>
        <v>19</v>
      </c>
      <c r="L45" s="235">
        <f t="shared" si="6"/>
        <v>0</v>
      </c>
      <c r="M45" s="235">
        <f t="shared" si="7"/>
        <v>0</v>
      </c>
      <c r="N45" s="238">
        <f t="shared" si="8"/>
        <v>0</v>
      </c>
      <c r="O45" s="239">
        <f t="shared" si="9"/>
        <v>0</v>
      </c>
      <c r="Q45" s="201">
        <f t="shared" si="10"/>
        <v>228</v>
      </c>
    </row>
    <row r="46" spans="2:19" x14ac:dyDescent="0.3">
      <c r="B46" s="233">
        <f t="shared" si="11"/>
        <v>20</v>
      </c>
      <c r="C46" s="234">
        <f t="shared" si="13"/>
        <v>2</v>
      </c>
      <c r="D46" s="235">
        <f t="shared" si="0"/>
        <v>1069604922.0076392</v>
      </c>
      <c r="E46" s="235">
        <f t="shared" si="1"/>
        <v>6239362.0450445618</v>
      </c>
      <c r="F46" s="235">
        <f t="shared" si="2"/>
        <v>0</v>
      </c>
      <c r="G46" s="235">
        <f t="shared" si="3"/>
        <v>6239362.0450445618</v>
      </c>
      <c r="H46" s="235">
        <f t="shared" si="4"/>
        <v>0</v>
      </c>
      <c r="I46" s="236">
        <f t="shared" si="5"/>
        <v>1069604922.0076392</v>
      </c>
      <c r="K46" s="237">
        <f t="shared" si="12"/>
        <v>20</v>
      </c>
      <c r="L46" s="235">
        <f t="shared" si="6"/>
        <v>0</v>
      </c>
      <c r="M46" s="235">
        <f t="shared" si="7"/>
        <v>0</v>
      </c>
      <c r="N46" s="238">
        <f t="shared" si="8"/>
        <v>0</v>
      </c>
      <c r="O46" s="239">
        <f t="shared" si="9"/>
        <v>0</v>
      </c>
      <c r="Q46" s="201">
        <f t="shared" si="10"/>
        <v>240</v>
      </c>
    </row>
    <row r="47" spans="2:19" x14ac:dyDescent="0.3">
      <c r="B47" s="233">
        <f t="shared" si="11"/>
        <v>21</v>
      </c>
      <c r="C47" s="234">
        <f t="shared" si="13"/>
        <v>2</v>
      </c>
      <c r="D47" s="235">
        <f t="shared" si="0"/>
        <v>1069604922.0076392</v>
      </c>
      <c r="E47" s="235">
        <f t="shared" si="1"/>
        <v>6239362.0450445618</v>
      </c>
      <c r="F47" s="235">
        <f t="shared" si="2"/>
        <v>0</v>
      </c>
      <c r="G47" s="235">
        <f t="shared" si="3"/>
        <v>6239362.0450445618</v>
      </c>
      <c r="H47" s="235">
        <f t="shared" si="4"/>
        <v>0</v>
      </c>
      <c r="I47" s="236">
        <f t="shared" si="5"/>
        <v>1069604922.0076392</v>
      </c>
      <c r="K47" s="237">
        <f t="shared" si="12"/>
        <v>21</v>
      </c>
      <c r="L47" s="235">
        <f t="shared" si="6"/>
        <v>0</v>
      </c>
      <c r="M47" s="235">
        <f t="shared" si="7"/>
        <v>0</v>
      </c>
      <c r="N47" s="238">
        <f t="shared" si="8"/>
        <v>0</v>
      </c>
      <c r="O47" s="239">
        <f t="shared" si="9"/>
        <v>0</v>
      </c>
      <c r="Q47" s="201">
        <f t="shared" si="10"/>
        <v>252</v>
      </c>
    </row>
    <row r="48" spans="2:19" x14ac:dyDescent="0.3">
      <c r="B48" s="233">
        <f t="shared" si="11"/>
        <v>22</v>
      </c>
      <c r="C48" s="234">
        <f t="shared" si="13"/>
        <v>2</v>
      </c>
      <c r="D48" s="235">
        <f t="shared" si="0"/>
        <v>1069604922.0076392</v>
      </c>
      <c r="E48" s="235">
        <f t="shared" si="1"/>
        <v>6239362.0450445618</v>
      </c>
      <c r="F48" s="235">
        <f t="shared" si="2"/>
        <v>0</v>
      </c>
      <c r="G48" s="235">
        <f t="shared" si="3"/>
        <v>6239362.0450445618</v>
      </c>
      <c r="H48" s="235">
        <f t="shared" si="4"/>
        <v>0</v>
      </c>
      <c r="I48" s="236">
        <f t="shared" si="5"/>
        <v>1069604922.0076392</v>
      </c>
      <c r="K48" s="237">
        <f t="shared" si="12"/>
        <v>22</v>
      </c>
      <c r="L48" s="235">
        <f t="shared" si="6"/>
        <v>0</v>
      </c>
      <c r="M48" s="235">
        <f t="shared" si="7"/>
        <v>0</v>
      </c>
      <c r="N48" s="238">
        <f t="shared" si="8"/>
        <v>0</v>
      </c>
      <c r="O48" s="239">
        <f t="shared" si="9"/>
        <v>0</v>
      </c>
      <c r="Q48" s="201">
        <f t="shared" si="10"/>
        <v>264</v>
      </c>
    </row>
    <row r="49" spans="2:17" x14ac:dyDescent="0.3">
      <c r="B49" s="233">
        <f t="shared" si="11"/>
        <v>23</v>
      </c>
      <c r="C49" s="234">
        <f t="shared" si="13"/>
        <v>2</v>
      </c>
      <c r="D49" s="235">
        <f t="shared" si="0"/>
        <v>1069604922.0076392</v>
      </c>
      <c r="E49" s="235">
        <f t="shared" si="1"/>
        <v>6239362.0450445618</v>
      </c>
      <c r="F49" s="235">
        <f t="shared" si="2"/>
        <v>0</v>
      </c>
      <c r="G49" s="235">
        <f t="shared" si="3"/>
        <v>6239362.0450445618</v>
      </c>
      <c r="H49" s="235">
        <f t="shared" si="4"/>
        <v>0</v>
      </c>
      <c r="I49" s="236">
        <f t="shared" si="5"/>
        <v>1069604922.0076392</v>
      </c>
      <c r="K49" s="237">
        <f t="shared" si="12"/>
        <v>23</v>
      </c>
      <c r="L49" s="235">
        <f t="shared" si="6"/>
        <v>0</v>
      </c>
      <c r="M49" s="235">
        <f t="shared" si="7"/>
        <v>0</v>
      </c>
      <c r="N49" s="238">
        <f t="shared" si="8"/>
        <v>0</v>
      </c>
      <c r="O49" s="239">
        <f t="shared" si="9"/>
        <v>0</v>
      </c>
      <c r="Q49" s="201">
        <f t="shared" si="10"/>
        <v>276</v>
      </c>
    </row>
    <row r="50" spans="2:17" x14ac:dyDescent="0.3">
      <c r="B50" s="233">
        <f t="shared" si="11"/>
        <v>24</v>
      </c>
      <c r="C50" s="234">
        <f t="shared" si="13"/>
        <v>2</v>
      </c>
      <c r="D50" s="235">
        <f t="shared" si="0"/>
        <v>1069604922.0076392</v>
      </c>
      <c r="E50" s="235">
        <f t="shared" si="1"/>
        <v>6239362.0450445618</v>
      </c>
      <c r="F50" s="235">
        <f t="shared" si="2"/>
        <v>0</v>
      </c>
      <c r="G50" s="235">
        <f t="shared" si="3"/>
        <v>6239362.0450445618</v>
      </c>
      <c r="H50" s="235">
        <f t="shared" si="4"/>
        <v>0</v>
      </c>
      <c r="I50" s="236">
        <f t="shared" si="5"/>
        <v>1069604922.0076392</v>
      </c>
      <c r="K50" s="237">
        <f t="shared" si="12"/>
        <v>24</v>
      </c>
      <c r="L50" s="235">
        <f t="shared" si="6"/>
        <v>0</v>
      </c>
      <c r="M50" s="235">
        <f t="shared" si="7"/>
        <v>0</v>
      </c>
      <c r="N50" s="238">
        <f t="shared" si="8"/>
        <v>0</v>
      </c>
      <c r="O50" s="239">
        <f t="shared" si="9"/>
        <v>0</v>
      </c>
      <c r="Q50" s="201">
        <f t="shared" si="10"/>
        <v>288</v>
      </c>
    </row>
    <row r="51" spans="2:17" x14ac:dyDescent="0.3">
      <c r="B51" s="233">
        <f t="shared" si="11"/>
        <v>25</v>
      </c>
      <c r="C51" s="234">
        <f t="shared" si="13"/>
        <v>3</v>
      </c>
      <c r="D51" s="235">
        <f t="shared" si="0"/>
        <v>1069604922.0076392</v>
      </c>
      <c r="E51" s="235">
        <f t="shared" si="1"/>
        <v>6239362.0450445618</v>
      </c>
      <c r="F51" s="235">
        <f t="shared" si="2"/>
        <v>0</v>
      </c>
      <c r="G51" s="235">
        <f t="shared" si="3"/>
        <v>6239362.0450445618</v>
      </c>
      <c r="H51" s="235">
        <f t="shared" si="4"/>
        <v>0</v>
      </c>
      <c r="I51" s="236">
        <f t="shared" si="5"/>
        <v>1069604922.0076392</v>
      </c>
      <c r="K51" s="237">
        <f t="shared" si="12"/>
        <v>25</v>
      </c>
      <c r="L51" s="235">
        <f t="shared" si="6"/>
        <v>0</v>
      </c>
      <c r="M51" s="235">
        <f t="shared" si="7"/>
        <v>0</v>
      </c>
      <c r="N51" s="238">
        <f t="shared" si="8"/>
        <v>0</v>
      </c>
      <c r="O51" s="239">
        <f t="shared" si="9"/>
        <v>0</v>
      </c>
      <c r="Q51" s="201">
        <f t="shared" si="10"/>
        <v>300</v>
      </c>
    </row>
    <row r="52" spans="2:17" x14ac:dyDescent="0.3">
      <c r="B52" s="233">
        <f t="shared" si="11"/>
        <v>26</v>
      </c>
      <c r="C52" s="234">
        <f t="shared" si="13"/>
        <v>3</v>
      </c>
      <c r="D52" s="235">
        <f t="shared" si="0"/>
        <v>1069604922.0076392</v>
      </c>
      <c r="E52" s="235">
        <f t="shared" si="1"/>
        <v>6239362.0450445618</v>
      </c>
      <c r="F52" s="235">
        <f t="shared" si="2"/>
        <v>0</v>
      </c>
      <c r="G52" s="235">
        <f t="shared" si="3"/>
        <v>6239362.0450445618</v>
      </c>
      <c r="H52" s="235">
        <f t="shared" si="4"/>
        <v>0</v>
      </c>
      <c r="I52" s="236">
        <f t="shared" si="5"/>
        <v>1069604922.0076392</v>
      </c>
      <c r="K52" s="237">
        <f t="shared" si="12"/>
        <v>26</v>
      </c>
      <c r="L52" s="235">
        <f t="shared" si="6"/>
        <v>0</v>
      </c>
      <c r="M52" s="235">
        <f t="shared" si="7"/>
        <v>0</v>
      </c>
      <c r="N52" s="238">
        <f t="shared" si="8"/>
        <v>0</v>
      </c>
      <c r="O52" s="239">
        <f t="shared" si="9"/>
        <v>0</v>
      </c>
      <c r="Q52" s="201">
        <f t="shared" si="10"/>
        <v>312</v>
      </c>
    </row>
    <row r="53" spans="2:17" x14ac:dyDescent="0.3">
      <c r="B53" s="233">
        <f t="shared" si="11"/>
        <v>27</v>
      </c>
      <c r="C53" s="234">
        <f t="shared" si="13"/>
        <v>3</v>
      </c>
      <c r="D53" s="235">
        <f t="shared" si="0"/>
        <v>1069604922.0076392</v>
      </c>
      <c r="E53" s="235">
        <f t="shared" si="1"/>
        <v>6239362.0450445618</v>
      </c>
      <c r="F53" s="235">
        <f t="shared" si="2"/>
        <v>0</v>
      </c>
      <c r="G53" s="235">
        <f t="shared" si="3"/>
        <v>6239362.0450445618</v>
      </c>
      <c r="H53" s="235">
        <f t="shared" si="4"/>
        <v>0</v>
      </c>
      <c r="I53" s="236">
        <f t="shared" si="5"/>
        <v>1069604922.0076392</v>
      </c>
      <c r="K53" s="237">
        <f t="shared" si="12"/>
        <v>27</v>
      </c>
      <c r="L53" s="235">
        <f t="shared" si="6"/>
        <v>0</v>
      </c>
      <c r="M53" s="235">
        <f t="shared" si="7"/>
        <v>0</v>
      </c>
      <c r="N53" s="238">
        <f t="shared" si="8"/>
        <v>0</v>
      </c>
      <c r="O53" s="239">
        <f t="shared" si="9"/>
        <v>0</v>
      </c>
      <c r="Q53" s="201">
        <f t="shared" si="10"/>
        <v>324</v>
      </c>
    </row>
    <row r="54" spans="2:17" x14ac:dyDescent="0.3">
      <c r="B54" s="233">
        <f t="shared" si="11"/>
        <v>28</v>
      </c>
      <c r="C54" s="234">
        <f t="shared" si="13"/>
        <v>3</v>
      </c>
      <c r="D54" s="235">
        <f t="shared" si="0"/>
        <v>1069604922.0076392</v>
      </c>
      <c r="E54" s="235">
        <f t="shared" si="1"/>
        <v>6239362.0450445618</v>
      </c>
      <c r="F54" s="235">
        <f t="shared" si="2"/>
        <v>0</v>
      </c>
      <c r="G54" s="235">
        <f t="shared" si="3"/>
        <v>6239362.0450445618</v>
      </c>
      <c r="H54" s="235">
        <f t="shared" si="4"/>
        <v>0</v>
      </c>
      <c r="I54" s="236">
        <f t="shared" si="5"/>
        <v>1069604922.0076392</v>
      </c>
      <c r="K54" s="237">
        <f t="shared" si="12"/>
        <v>28</v>
      </c>
      <c r="L54" s="235">
        <f t="shared" si="6"/>
        <v>0</v>
      </c>
      <c r="M54" s="235">
        <f t="shared" si="7"/>
        <v>0</v>
      </c>
      <c r="N54" s="238">
        <f t="shared" si="8"/>
        <v>0</v>
      </c>
      <c r="O54" s="239">
        <f t="shared" si="9"/>
        <v>0</v>
      </c>
      <c r="Q54" s="201">
        <f t="shared" si="10"/>
        <v>336</v>
      </c>
    </row>
    <row r="55" spans="2:17" x14ac:dyDescent="0.3">
      <c r="B55" s="233">
        <f t="shared" si="11"/>
        <v>29</v>
      </c>
      <c r="C55" s="234">
        <f t="shared" si="13"/>
        <v>3</v>
      </c>
      <c r="D55" s="235">
        <f t="shared" si="0"/>
        <v>1069604922.0076392</v>
      </c>
      <c r="E55" s="235">
        <f t="shared" si="1"/>
        <v>6239362.0450445618</v>
      </c>
      <c r="F55" s="235">
        <f t="shared" si="2"/>
        <v>0</v>
      </c>
      <c r="G55" s="235">
        <f t="shared" si="3"/>
        <v>6239362.0450445618</v>
      </c>
      <c r="H55" s="235">
        <f t="shared" si="4"/>
        <v>0</v>
      </c>
      <c r="I55" s="236">
        <f t="shared" si="5"/>
        <v>1069604922.0076392</v>
      </c>
      <c r="K55" s="237">
        <f t="shared" si="12"/>
        <v>29</v>
      </c>
      <c r="L55" s="235">
        <f t="shared" si="6"/>
        <v>0</v>
      </c>
      <c r="M55" s="235">
        <f t="shared" si="7"/>
        <v>0</v>
      </c>
      <c r="N55" s="238">
        <f t="shared" si="8"/>
        <v>0</v>
      </c>
      <c r="O55" s="239">
        <f t="shared" si="9"/>
        <v>0</v>
      </c>
      <c r="Q55" s="201">
        <f t="shared" si="10"/>
        <v>348</v>
      </c>
    </row>
    <row r="56" spans="2:17" x14ac:dyDescent="0.3">
      <c r="B56" s="233">
        <f t="shared" si="11"/>
        <v>30</v>
      </c>
      <c r="C56" s="234">
        <f t="shared" si="13"/>
        <v>3</v>
      </c>
      <c r="D56" s="235">
        <f t="shared" si="0"/>
        <v>1069604922.0076392</v>
      </c>
      <c r="E56" s="235">
        <f t="shared" si="1"/>
        <v>6239362.0450445618</v>
      </c>
      <c r="F56" s="235">
        <f t="shared" si="2"/>
        <v>0</v>
      </c>
      <c r="G56" s="235">
        <f t="shared" si="3"/>
        <v>6239362.0450445618</v>
      </c>
      <c r="H56" s="235">
        <f t="shared" si="4"/>
        <v>0</v>
      </c>
      <c r="I56" s="236">
        <f t="shared" si="5"/>
        <v>1069604922.0076392</v>
      </c>
      <c r="K56" s="241">
        <f t="shared" si="12"/>
        <v>30</v>
      </c>
      <c r="L56" s="242">
        <f t="shared" si="6"/>
        <v>0</v>
      </c>
      <c r="M56" s="242">
        <f t="shared" si="7"/>
        <v>0</v>
      </c>
      <c r="N56" s="243">
        <f t="shared" si="8"/>
        <v>0</v>
      </c>
      <c r="O56" s="244">
        <f t="shared" si="9"/>
        <v>0</v>
      </c>
      <c r="Q56" s="201">
        <f t="shared" si="10"/>
        <v>360</v>
      </c>
    </row>
    <row r="57" spans="2:17" x14ac:dyDescent="0.3">
      <c r="B57" s="233">
        <f t="shared" si="11"/>
        <v>31</v>
      </c>
      <c r="C57" s="234">
        <f t="shared" si="13"/>
        <v>3</v>
      </c>
      <c r="D57" s="235">
        <f t="shared" si="0"/>
        <v>1069604922.0076392</v>
      </c>
      <c r="E57" s="235">
        <f t="shared" si="1"/>
        <v>6239362.0450445618</v>
      </c>
      <c r="F57" s="235">
        <f t="shared" si="2"/>
        <v>0</v>
      </c>
      <c r="G57" s="235">
        <f t="shared" si="3"/>
        <v>6239362.0450445618</v>
      </c>
      <c r="H57" s="235">
        <f t="shared" si="4"/>
        <v>0</v>
      </c>
      <c r="I57" s="236">
        <f t="shared" si="5"/>
        <v>1069604922.0076392</v>
      </c>
    </row>
    <row r="58" spans="2:17" x14ac:dyDescent="0.3">
      <c r="B58" s="233">
        <f t="shared" si="11"/>
        <v>32</v>
      </c>
      <c r="C58" s="234">
        <f t="shared" si="13"/>
        <v>3</v>
      </c>
      <c r="D58" s="235">
        <f t="shared" si="0"/>
        <v>1069604922.0076392</v>
      </c>
      <c r="E58" s="235">
        <f t="shared" si="1"/>
        <v>6239362.0450445618</v>
      </c>
      <c r="F58" s="235">
        <f t="shared" si="2"/>
        <v>0</v>
      </c>
      <c r="G58" s="235">
        <f t="shared" si="3"/>
        <v>6239362.0450445618</v>
      </c>
      <c r="H58" s="235">
        <f t="shared" si="4"/>
        <v>0</v>
      </c>
      <c r="I58" s="236">
        <f t="shared" si="5"/>
        <v>1069604922.0076392</v>
      </c>
    </row>
    <row r="59" spans="2:17" x14ac:dyDescent="0.3">
      <c r="B59" s="233">
        <f t="shared" si="11"/>
        <v>33</v>
      </c>
      <c r="C59" s="234">
        <f t="shared" si="13"/>
        <v>3</v>
      </c>
      <c r="D59" s="235">
        <f t="shared" si="0"/>
        <v>1069604922.0076392</v>
      </c>
      <c r="E59" s="235">
        <f t="shared" si="1"/>
        <v>6239362.0450445618</v>
      </c>
      <c r="F59" s="235">
        <f t="shared" si="2"/>
        <v>0</v>
      </c>
      <c r="G59" s="235">
        <f t="shared" si="3"/>
        <v>6239362.0450445618</v>
      </c>
      <c r="H59" s="235">
        <f t="shared" si="4"/>
        <v>0</v>
      </c>
      <c r="I59" s="236">
        <f t="shared" si="5"/>
        <v>1069604922.0076392</v>
      </c>
    </row>
    <row r="60" spans="2:17" x14ac:dyDescent="0.3">
      <c r="B60" s="233">
        <f t="shared" si="11"/>
        <v>34</v>
      </c>
      <c r="C60" s="234">
        <f t="shared" si="13"/>
        <v>3</v>
      </c>
      <c r="D60" s="235">
        <f t="shared" si="0"/>
        <v>1069604922.0076392</v>
      </c>
      <c r="E60" s="235">
        <f t="shared" si="1"/>
        <v>6239362.0450445618</v>
      </c>
      <c r="F60" s="235">
        <f t="shared" si="2"/>
        <v>0</v>
      </c>
      <c r="G60" s="235">
        <f t="shared" si="3"/>
        <v>6239362.0450445618</v>
      </c>
      <c r="H60" s="235">
        <f t="shared" si="4"/>
        <v>0</v>
      </c>
      <c r="I60" s="236">
        <f t="shared" si="5"/>
        <v>1069604922.0076392</v>
      </c>
    </row>
    <row r="61" spans="2:17" x14ac:dyDescent="0.3">
      <c r="B61" s="233">
        <f t="shared" si="11"/>
        <v>35</v>
      </c>
      <c r="C61" s="234">
        <f t="shared" si="13"/>
        <v>3</v>
      </c>
      <c r="D61" s="235">
        <f t="shared" si="0"/>
        <v>1069604922.0076392</v>
      </c>
      <c r="E61" s="235">
        <f t="shared" si="1"/>
        <v>6239362.0450445618</v>
      </c>
      <c r="F61" s="235">
        <f t="shared" si="2"/>
        <v>0</v>
      </c>
      <c r="G61" s="235">
        <f t="shared" si="3"/>
        <v>6239362.0450445618</v>
      </c>
      <c r="H61" s="235">
        <f t="shared" si="4"/>
        <v>0</v>
      </c>
      <c r="I61" s="236">
        <f t="shared" si="5"/>
        <v>1069604922.0076392</v>
      </c>
    </row>
    <row r="62" spans="2:17" x14ac:dyDescent="0.3">
      <c r="B62" s="233">
        <f t="shared" si="11"/>
        <v>36</v>
      </c>
      <c r="C62" s="234">
        <f t="shared" si="13"/>
        <v>3</v>
      </c>
      <c r="D62" s="235">
        <f t="shared" si="0"/>
        <v>1069604922.0076392</v>
      </c>
      <c r="E62" s="235">
        <f t="shared" si="1"/>
        <v>6239362.0450445618</v>
      </c>
      <c r="F62" s="235">
        <f t="shared" si="2"/>
        <v>0</v>
      </c>
      <c r="G62" s="235">
        <f t="shared" si="3"/>
        <v>6239362.0450445618</v>
      </c>
      <c r="H62" s="235">
        <f t="shared" si="4"/>
        <v>0</v>
      </c>
      <c r="I62" s="236">
        <f t="shared" si="5"/>
        <v>1069604922.0076392</v>
      </c>
    </row>
    <row r="63" spans="2:17" x14ac:dyDescent="0.3">
      <c r="B63" s="233">
        <f t="shared" si="11"/>
        <v>37</v>
      </c>
      <c r="C63" s="234">
        <f t="shared" si="13"/>
        <v>4</v>
      </c>
      <c r="D63" s="235">
        <f t="shared" si="0"/>
        <v>1069604922.0076392</v>
      </c>
      <c r="E63" s="235">
        <f t="shared" si="1"/>
        <v>7116108.2346761795</v>
      </c>
      <c r="F63" s="235">
        <f t="shared" si="2"/>
        <v>0</v>
      </c>
      <c r="G63" s="235">
        <f t="shared" si="3"/>
        <v>6239362.0450445618</v>
      </c>
      <c r="H63" s="235">
        <f t="shared" si="4"/>
        <v>876746.18963161763</v>
      </c>
      <c r="I63" s="236">
        <f t="shared" si="5"/>
        <v>1068728175.8180076</v>
      </c>
    </row>
    <row r="64" spans="2:17" x14ac:dyDescent="0.3">
      <c r="B64" s="233">
        <f t="shared" si="11"/>
        <v>38</v>
      </c>
      <c r="C64" s="234">
        <f t="shared" si="13"/>
        <v>4</v>
      </c>
      <c r="D64" s="235">
        <f t="shared" si="0"/>
        <v>1068728175.8180076</v>
      </c>
      <c r="E64" s="235">
        <f t="shared" si="1"/>
        <v>7116108.2346761795</v>
      </c>
      <c r="F64" s="235">
        <f t="shared" si="2"/>
        <v>0</v>
      </c>
      <c r="G64" s="235">
        <f t="shared" si="3"/>
        <v>6234247.6922717113</v>
      </c>
      <c r="H64" s="235">
        <f t="shared" si="4"/>
        <v>881860.54240446817</v>
      </c>
      <c r="I64" s="236">
        <f t="shared" si="5"/>
        <v>1067846315.2756032</v>
      </c>
    </row>
    <row r="65" spans="2:9" x14ac:dyDescent="0.3">
      <c r="B65" s="233">
        <f t="shared" si="11"/>
        <v>39</v>
      </c>
      <c r="C65" s="234">
        <f t="shared" si="13"/>
        <v>4</v>
      </c>
      <c r="D65" s="235">
        <f t="shared" si="0"/>
        <v>1067846315.2756032</v>
      </c>
      <c r="E65" s="235">
        <f t="shared" si="1"/>
        <v>7116108.2346761795</v>
      </c>
      <c r="F65" s="235">
        <f t="shared" si="2"/>
        <v>0</v>
      </c>
      <c r="G65" s="235">
        <f t="shared" si="3"/>
        <v>6229103.5057743518</v>
      </c>
      <c r="H65" s="235">
        <f t="shared" si="4"/>
        <v>887004.72890182771</v>
      </c>
      <c r="I65" s="236">
        <f t="shared" si="5"/>
        <v>1066959310.5467013</v>
      </c>
    </row>
    <row r="66" spans="2:9" x14ac:dyDescent="0.3">
      <c r="B66" s="233">
        <f t="shared" si="11"/>
        <v>40</v>
      </c>
      <c r="C66" s="234">
        <f t="shared" si="13"/>
        <v>4</v>
      </c>
      <c r="D66" s="235">
        <f t="shared" si="0"/>
        <v>1066959310.5467013</v>
      </c>
      <c r="E66" s="235">
        <f t="shared" si="1"/>
        <v>7116108.2346761795</v>
      </c>
      <c r="F66" s="235">
        <f t="shared" si="2"/>
        <v>0</v>
      </c>
      <c r="G66" s="235">
        <f t="shared" si="3"/>
        <v>6223929.3115224242</v>
      </c>
      <c r="H66" s="235">
        <f t="shared" si="4"/>
        <v>892178.92315375526</v>
      </c>
      <c r="I66" s="236">
        <f t="shared" si="5"/>
        <v>1066067131.6235476</v>
      </c>
    </row>
    <row r="67" spans="2:9" x14ac:dyDescent="0.3">
      <c r="B67" s="233">
        <f t="shared" si="11"/>
        <v>41</v>
      </c>
      <c r="C67" s="234">
        <f t="shared" si="13"/>
        <v>4</v>
      </c>
      <c r="D67" s="235">
        <f t="shared" si="0"/>
        <v>1066067131.6235476</v>
      </c>
      <c r="E67" s="235">
        <f t="shared" si="1"/>
        <v>7116108.2346761795</v>
      </c>
      <c r="F67" s="235">
        <f t="shared" si="2"/>
        <v>0</v>
      </c>
      <c r="G67" s="235">
        <f t="shared" si="3"/>
        <v>6218724.9344706945</v>
      </c>
      <c r="H67" s="235">
        <f t="shared" si="4"/>
        <v>897383.30020548496</v>
      </c>
      <c r="I67" s="236">
        <f t="shared" si="5"/>
        <v>1065169748.3233421</v>
      </c>
    </row>
    <row r="68" spans="2:9" x14ac:dyDescent="0.3">
      <c r="B68" s="233">
        <f t="shared" si="11"/>
        <v>42</v>
      </c>
      <c r="C68" s="234">
        <f t="shared" si="13"/>
        <v>4</v>
      </c>
      <c r="D68" s="235">
        <f t="shared" si="0"/>
        <v>1065169748.3233421</v>
      </c>
      <c r="E68" s="235">
        <f t="shared" si="1"/>
        <v>7116108.2346761795</v>
      </c>
      <c r="F68" s="235">
        <f t="shared" si="2"/>
        <v>0</v>
      </c>
      <c r="G68" s="235">
        <f t="shared" si="3"/>
        <v>6213490.1985528292</v>
      </c>
      <c r="H68" s="235">
        <f t="shared" si="4"/>
        <v>902618.03612335026</v>
      </c>
      <c r="I68" s="236">
        <f t="shared" si="5"/>
        <v>1064267130.2872187</v>
      </c>
    </row>
    <row r="69" spans="2:9" x14ac:dyDescent="0.3">
      <c r="B69" s="233">
        <f t="shared" si="11"/>
        <v>43</v>
      </c>
      <c r="C69" s="234">
        <f t="shared" si="13"/>
        <v>4</v>
      </c>
      <c r="D69" s="235">
        <f t="shared" si="0"/>
        <v>1064267130.2872187</v>
      </c>
      <c r="E69" s="235">
        <f t="shared" si="1"/>
        <v>7116108.2346761795</v>
      </c>
      <c r="F69" s="235">
        <f t="shared" si="2"/>
        <v>0</v>
      </c>
      <c r="G69" s="235">
        <f t="shared" si="3"/>
        <v>6208224.9266754426</v>
      </c>
      <c r="H69" s="235">
        <f t="shared" si="4"/>
        <v>907883.30800073687</v>
      </c>
      <c r="I69" s="236">
        <f t="shared" si="5"/>
        <v>1063359246.979218</v>
      </c>
    </row>
    <row r="70" spans="2:9" x14ac:dyDescent="0.3">
      <c r="B70" s="233">
        <f t="shared" si="11"/>
        <v>44</v>
      </c>
      <c r="C70" s="234">
        <f t="shared" si="13"/>
        <v>4</v>
      </c>
      <c r="D70" s="235">
        <f t="shared" si="0"/>
        <v>1063359246.979218</v>
      </c>
      <c r="E70" s="235">
        <f t="shared" si="1"/>
        <v>7116108.2346761795</v>
      </c>
      <c r="F70" s="235">
        <f t="shared" si="2"/>
        <v>0</v>
      </c>
      <c r="G70" s="235">
        <f t="shared" si="3"/>
        <v>6202928.9407121055</v>
      </c>
      <c r="H70" s="235">
        <f t="shared" si="4"/>
        <v>913179.29396407399</v>
      </c>
      <c r="I70" s="236">
        <f t="shared" si="5"/>
        <v>1062446067.685254</v>
      </c>
    </row>
    <row r="71" spans="2:9" x14ac:dyDescent="0.3">
      <c r="B71" s="233">
        <f t="shared" si="11"/>
        <v>45</v>
      </c>
      <c r="C71" s="234">
        <f t="shared" si="13"/>
        <v>4</v>
      </c>
      <c r="D71" s="235">
        <f t="shared" si="0"/>
        <v>1062446067.685254</v>
      </c>
      <c r="E71" s="235">
        <f t="shared" si="1"/>
        <v>7116108.2346761795</v>
      </c>
      <c r="F71" s="235">
        <f t="shared" si="2"/>
        <v>0</v>
      </c>
      <c r="G71" s="235">
        <f t="shared" si="3"/>
        <v>6197602.0614973148</v>
      </c>
      <c r="H71" s="235">
        <f t="shared" si="4"/>
        <v>918506.17317886464</v>
      </c>
      <c r="I71" s="236">
        <f t="shared" si="5"/>
        <v>1061527561.5120751</v>
      </c>
    </row>
    <row r="72" spans="2:9" x14ac:dyDescent="0.3">
      <c r="B72" s="233">
        <f t="shared" si="11"/>
        <v>46</v>
      </c>
      <c r="C72" s="234">
        <f t="shared" si="13"/>
        <v>4</v>
      </c>
      <c r="D72" s="235">
        <f t="shared" si="0"/>
        <v>1061527561.5120751</v>
      </c>
      <c r="E72" s="235">
        <f t="shared" si="1"/>
        <v>7116108.2346761795</v>
      </c>
      <c r="F72" s="235">
        <f t="shared" si="2"/>
        <v>0</v>
      </c>
      <c r="G72" s="235">
        <f t="shared" si="3"/>
        <v>6192244.1088204384</v>
      </c>
      <c r="H72" s="235">
        <f t="shared" si="4"/>
        <v>923864.12585574109</v>
      </c>
      <c r="I72" s="236">
        <f t="shared" si="5"/>
        <v>1060603697.3862194</v>
      </c>
    </row>
    <row r="73" spans="2:9" x14ac:dyDescent="0.3">
      <c r="B73" s="233">
        <f t="shared" si="11"/>
        <v>47</v>
      </c>
      <c r="C73" s="234">
        <f t="shared" si="13"/>
        <v>4</v>
      </c>
      <c r="D73" s="235">
        <f t="shared" si="0"/>
        <v>1060603697.3862194</v>
      </c>
      <c r="E73" s="235">
        <f t="shared" si="1"/>
        <v>7116108.2346761795</v>
      </c>
      <c r="F73" s="235">
        <f t="shared" si="2"/>
        <v>0</v>
      </c>
      <c r="G73" s="235">
        <f t="shared" si="3"/>
        <v>6186854.9014196135</v>
      </c>
      <c r="H73" s="235">
        <f t="shared" si="4"/>
        <v>929253.33325656597</v>
      </c>
      <c r="I73" s="236">
        <f t="shared" si="5"/>
        <v>1059674444.0529628</v>
      </c>
    </row>
    <row r="74" spans="2:9" x14ac:dyDescent="0.3">
      <c r="B74" s="233">
        <f t="shared" si="11"/>
        <v>48</v>
      </c>
      <c r="C74" s="234">
        <f t="shared" si="13"/>
        <v>4</v>
      </c>
      <c r="D74" s="235">
        <f t="shared" si="0"/>
        <v>1059674444.0529628</v>
      </c>
      <c r="E74" s="235">
        <f t="shared" si="1"/>
        <v>7116108.2346761795</v>
      </c>
      <c r="F74" s="235">
        <f t="shared" si="2"/>
        <v>0</v>
      </c>
      <c r="G74" s="235">
        <f t="shared" si="3"/>
        <v>6181434.2569756163</v>
      </c>
      <c r="H74" s="235">
        <f t="shared" si="4"/>
        <v>934673.97770056315</v>
      </c>
      <c r="I74" s="236">
        <f t="shared" si="5"/>
        <v>1058739770.0752622</v>
      </c>
    </row>
    <row r="75" spans="2:9" x14ac:dyDescent="0.3">
      <c r="B75" s="233">
        <f t="shared" si="11"/>
        <v>49</v>
      </c>
      <c r="C75" s="234">
        <f t="shared" si="13"/>
        <v>5</v>
      </c>
      <c r="D75" s="235">
        <f t="shared" si="0"/>
        <v>1058739770.0752622</v>
      </c>
      <c r="E75" s="235">
        <f t="shared" si="1"/>
        <v>7116108.2346761795</v>
      </c>
      <c r="F75" s="235">
        <f t="shared" si="2"/>
        <v>0</v>
      </c>
      <c r="G75" s="235">
        <f t="shared" si="3"/>
        <v>6175981.9921056964</v>
      </c>
      <c r="H75" s="235">
        <f t="shared" si="4"/>
        <v>940126.24257048313</v>
      </c>
      <c r="I75" s="236">
        <f t="shared" si="5"/>
        <v>1057799643.8326917</v>
      </c>
    </row>
    <row r="76" spans="2:9" x14ac:dyDescent="0.3">
      <c r="B76" s="233">
        <f t="shared" si="11"/>
        <v>50</v>
      </c>
      <c r="C76" s="234">
        <f t="shared" si="13"/>
        <v>5</v>
      </c>
      <c r="D76" s="235">
        <f t="shared" si="0"/>
        <v>1057799643.8326917</v>
      </c>
      <c r="E76" s="235">
        <f t="shared" si="1"/>
        <v>7116108.2346761795</v>
      </c>
      <c r="F76" s="235">
        <f t="shared" si="2"/>
        <v>0</v>
      </c>
      <c r="G76" s="235">
        <f t="shared" si="3"/>
        <v>6170497.9223573683</v>
      </c>
      <c r="H76" s="235">
        <f t="shared" si="4"/>
        <v>945610.31231881119</v>
      </c>
      <c r="I76" s="236">
        <f t="shared" si="5"/>
        <v>1056854033.5203729</v>
      </c>
    </row>
    <row r="77" spans="2:9" x14ac:dyDescent="0.3">
      <c r="B77" s="233">
        <f t="shared" si="11"/>
        <v>51</v>
      </c>
      <c r="C77" s="234">
        <f t="shared" si="13"/>
        <v>5</v>
      </c>
      <c r="D77" s="235">
        <f t="shared" si="0"/>
        <v>1056854033.5203729</v>
      </c>
      <c r="E77" s="235">
        <f t="shared" si="1"/>
        <v>7116108.2346761795</v>
      </c>
      <c r="F77" s="235">
        <f t="shared" si="2"/>
        <v>0</v>
      </c>
      <c r="G77" s="235">
        <f t="shared" si="3"/>
        <v>6164981.862202175</v>
      </c>
      <c r="H77" s="235">
        <f t="shared" si="4"/>
        <v>951126.37247400451</v>
      </c>
      <c r="I77" s="236">
        <f t="shared" si="5"/>
        <v>1055902907.1478989</v>
      </c>
    </row>
    <row r="78" spans="2:9" x14ac:dyDescent="0.3">
      <c r="B78" s="233">
        <f t="shared" si="11"/>
        <v>52</v>
      </c>
      <c r="C78" s="234">
        <f t="shared" si="13"/>
        <v>5</v>
      </c>
      <c r="D78" s="235">
        <f t="shared" si="0"/>
        <v>1055902907.1478989</v>
      </c>
      <c r="E78" s="235">
        <f t="shared" si="1"/>
        <v>7116108.2346761795</v>
      </c>
      <c r="F78" s="235">
        <f t="shared" si="2"/>
        <v>0</v>
      </c>
      <c r="G78" s="235">
        <f t="shared" si="3"/>
        <v>6159433.6250294102</v>
      </c>
      <c r="H78" s="235">
        <f t="shared" si="4"/>
        <v>956674.60964676924</v>
      </c>
      <c r="I78" s="236">
        <f t="shared" si="5"/>
        <v>1054946232.5382521</v>
      </c>
    </row>
    <row r="79" spans="2:9" x14ac:dyDescent="0.3">
      <c r="B79" s="233">
        <f t="shared" si="11"/>
        <v>53</v>
      </c>
      <c r="C79" s="234">
        <f t="shared" si="13"/>
        <v>5</v>
      </c>
      <c r="D79" s="235">
        <f t="shared" si="0"/>
        <v>1054946232.5382521</v>
      </c>
      <c r="E79" s="235">
        <f t="shared" si="1"/>
        <v>7116108.2346761795</v>
      </c>
      <c r="F79" s="235">
        <f t="shared" si="2"/>
        <v>0</v>
      </c>
      <c r="G79" s="235">
        <f t="shared" si="3"/>
        <v>6153853.0231398046</v>
      </c>
      <c r="H79" s="235">
        <f t="shared" si="4"/>
        <v>962255.21153637487</v>
      </c>
      <c r="I79" s="236">
        <f t="shared" si="5"/>
        <v>1053983977.3267157</v>
      </c>
    </row>
    <row r="80" spans="2:9" x14ac:dyDescent="0.3">
      <c r="B80" s="233">
        <f t="shared" si="11"/>
        <v>54</v>
      </c>
      <c r="C80" s="234">
        <f t="shared" si="13"/>
        <v>5</v>
      </c>
      <c r="D80" s="235">
        <f t="shared" si="0"/>
        <v>1053983977.3267157</v>
      </c>
      <c r="E80" s="235">
        <f t="shared" si="1"/>
        <v>7116108.2346761795</v>
      </c>
      <c r="F80" s="235">
        <f t="shared" si="2"/>
        <v>0</v>
      </c>
      <c r="G80" s="235">
        <f t="shared" si="3"/>
        <v>6148239.8677391754</v>
      </c>
      <c r="H80" s="235">
        <f t="shared" si="4"/>
        <v>967868.36693700403</v>
      </c>
      <c r="I80" s="236">
        <f t="shared" si="5"/>
        <v>1053016108.9597787</v>
      </c>
    </row>
    <row r="81" spans="2:9" x14ac:dyDescent="0.3">
      <c r="B81" s="233">
        <f t="shared" si="11"/>
        <v>55</v>
      </c>
      <c r="C81" s="234">
        <f t="shared" si="13"/>
        <v>5</v>
      </c>
      <c r="D81" s="235">
        <f t="shared" si="0"/>
        <v>1053016108.9597787</v>
      </c>
      <c r="E81" s="235">
        <f t="shared" si="1"/>
        <v>7116108.2346761795</v>
      </c>
      <c r="F81" s="235">
        <f t="shared" si="2"/>
        <v>0</v>
      </c>
      <c r="G81" s="235">
        <f t="shared" si="3"/>
        <v>6142593.9689320428</v>
      </c>
      <c r="H81" s="235">
        <f t="shared" si="4"/>
        <v>973514.26574413665</v>
      </c>
      <c r="I81" s="236">
        <f t="shared" si="5"/>
        <v>1052042594.6940346</v>
      </c>
    </row>
    <row r="82" spans="2:9" x14ac:dyDescent="0.3">
      <c r="B82" s="233">
        <f t="shared" si="11"/>
        <v>56</v>
      </c>
      <c r="C82" s="234">
        <f t="shared" si="13"/>
        <v>5</v>
      </c>
      <c r="D82" s="235">
        <f t="shared" si="0"/>
        <v>1052042594.6940346</v>
      </c>
      <c r="E82" s="235">
        <f t="shared" si="1"/>
        <v>7116108.2346761795</v>
      </c>
      <c r="F82" s="235">
        <f t="shared" si="2"/>
        <v>0</v>
      </c>
      <c r="G82" s="235">
        <f t="shared" si="3"/>
        <v>6136915.1357152024</v>
      </c>
      <c r="H82" s="235">
        <f t="shared" si="4"/>
        <v>979193.09896097705</v>
      </c>
      <c r="I82" s="236">
        <f t="shared" si="5"/>
        <v>1051063401.5950736</v>
      </c>
    </row>
    <row r="83" spans="2:9" x14ac:dyDescent="0.3">
      <c r="B83" s="233">
        <f t="shared" si="11"/>
        <v>57</v>
      </c>
      <c r="C83" s="234">
        <f t="shared" si="13"/>
        <v>5</v>
      </c>
      <c r="D83" s="235">
        <f t="shared" si="0"/>
        <v>1051063401.5950736</v>
      </c>
      <c r="E83" s="235">
        <f t="shared" si="1"/>
        <v>7116108.2346761795</v>
      </c>
      <c r="F83" s="235">
        <f t="shared" si="2"/>
        <v>0</v>
      </c>
      <c r="G83" s="235">
        <f t="shared" si="3"/>
        <v>6131203.1759712631</v>
      </c>
      <c r="H83" s="235">
        <f t="shared" si="4"/>
        <v>984905.05870491639</v>
      </c>
      <c r="I83" s="236">
        <f t="shared" si="5"/>
        <v>1050078496.5363686</v>
      </c>
    </row>
    <row r="84" spans="2:9" x14ac:dyDescent="0.3">
      <c r="B84" s="233">
        <f t="shared" si="11"/>
        <v>58</v>
      </c>
      <c r="C84" s="234">
        <f t="shared" si="13"/>
        <v>5</v>
      </c>
      <c r="D84" s="235">
        <f t="shared" si="0"/>
        <v>1050078496.5363686</v>
      </c>
      <c r="E84" s="235">
        <f t="shared" si="1"/>
        <v>7116108.2346761795</v>
      </c>
      <c r="F84" s="235">
        <f t="shared" si="2"/>
        <v>0</v>
      </c>
      <c r="G84" s="235">
        <f t="shared" si="3"/>
        <v>6125457.8964621508</v>
      </c>
      <c r="H84" s="235">
        <f t="shared" si="4"/>
        <v>990650.33821402863</v>
      </c>
      <c r="I84" s="236">
        <f t="shared" si="5"/>
        <v>1049087846.1981546</v>
      </c>
    </row>
    <row r="85" spans="2:9" x14ac:dyDescent="0.3">
      <c r="B85" s="233">
        <f t="shared" si="11"/>
        <v>59</v>
      </c>
      <c r="C85" s="234">
        <f t="shared" si="13"/>
        <v>5</v>
      </c>
      <c r="D85" s="235">
        <f t="shared" si="0"/>
        <v>1049087846.1981546</v>
      </c>
      <c r="E85" s="235">
        <f t="shared" si="1"/>
        <v>7116108.2346761795</v>
      </c>
      <c r="F85" s="235">
        <f t="shared" si="2"/>
        <v>0</v>
      </c>
      <c r="G85" s="235">
        <f t="shared" si="3"/>
        <v>6119679.1028225683</v>
      </c>
      <c r="H85" s="235">
        <f t="shared" si="4"/>
        <v>996429.13185361121</v>
      </c>
      <c r="I85" s="236">
        <f t="shared" si="5"/>
        <v>1048091417.066301</v>
      </c>
    </row>
    <row r="86" spans="2:9" x14ac:dyDescent="0.3">
      <c r="B86" s="233">
        <f t="shared" si="11"/>
        <v>60</v>
      </c>
      <c r="C86" s="234">
        <f t="shared" si="13"/>
        <v>5</v>
      </c>
      <c r="D86" s="235">
        <f t="shared" si="0"/>
        <v>1048091417.066301</v>
      </c>
      <c r="E86" s="235">
        <f t="shared" si="1"/>
        <v>7116108.2346761795</v>
      </c>
      <c r="F86" s="235">
        <f t="shared" si="2"/>
        <v>0</v>
      </c>
      <c r="G86" s="235">
        <f t="shared" si="3"/>
        <v>6113866.599553423</v>
      </c>
      <c r="H86" s="235">
        <f t="shared" si="4"/>
        <v>1002241.6351227565</v>
      </c>
      <c r="I86" s="236">
        <f t="shared" si="5"/>
        <v>1047089175.4311782</v>
      </c>
    </row>
    <row r="87" spans="2:9" x14ac:dyDescent="0.3">
      <c r="B87" s="233">
        <f t="shared" si="11"/>
        <v>61</v>
      </c>
      <c r="C87" s="234">
        <f t="shared" si="13"/>
        <v>6</v>
      </c>
      <c r="D87" s="235">
        <f t="shared" si="0"/>
        <v>1047089175.4311782</v>
      </c>
      <c r="E87" s="235">
        <f t="shared" si="1"/>
        <v>7116108.2346761795</v>
      </c>
      <c r="F87" s="235">
        <f t="shared" si="2"/>
        <v>0</v>
      </c>
      <c r="G87" s="235">
        <f t="shared" si="3"/>
        <v>6108020.1900152061</v>
      </c>
      <c r="H87" s="235">
        <f t="shared" si="4"/>
        <v>1008088.0446609734</v>
      </c>
      <c r="I87" s="236">
        <f t="shared" si="5"/>
        <v>1046081087.3865173</v>
      </c>
    </row>
    <row r="88" spans="2:9" x14ac:dyDescent="0.3">
      <c r="B88" s="233">
        <f t="shared" si="11"/>
        <v>62</v>
      </c>
      <c r="C88" s="234">
        <f t="shared" si="13"/>
        <v>6</v>
      </c>
      <c r="D88" s="235">
        <f t="shared" si="0"/>
        <v>1046081087.3865173</v>
      </c>
      <c r="E88" s="235">
        <f t="shared" si="1"/>
        <v>7116108.2346761795</v>
      </c>
      <c r="F88" s="235">
        <f t="shared" si="2"/>
        <v>0</v>
      </c>
      <c r="G88" s="235">
        <f t="shared" si="3"/>
        <v>6102139.6764213508</v>
      </c>
      <c r="H88" s="235">
        <f t="shared" si="4"/>
        <v>1013968.5582548287</v>
      </c>
      <c r="I88" s="236">
        <f t="shared" si="5"/>
        <v>1045067118.8282624</v>
      </c>
    </row>
    <row r="89" spans="2:9" x14ac:dyDescent="0.3">
      <c r="B89" s="233">
        <f t="shared" si="11"/>
        <v>63</v>
      </c>
      <c r="C89" s="234">
        <f t="shared" si="13"/>
        <v>6</v>
      </c>
      <c r="D89" s="235">
        <f t="shared" si="0"/>
        <v>1045067118.8282624</v>
      </c>
      <c r="E89" s="235">
        <f t="shared" si="1"/>
        <v>7116108.2346761795</v>
      </c>
      <c r="F89" s="235">
        <f t="shared" si="2"/>
        <v>0</v>
      </c>
      <c r="G89" s="235">
        <f t="shared" si="3"/>
        <v>6096224.8598315315</v>
      </c>
      <c r="H89" s="235">
        <f t="shared" si="4"/>
        <v>1019883.3748446479</v>
      </c>
      <c r="I89" s="236">
        <f t="shared" si="5"/>
        <v>1044047235.4534178</v>
      </c>
    </row>
    <row r="90" spans="2:9" x14ac:dyDescent="0.3">
      <c r="B90" s="233">
        <f t="shared" si="11"/>
        <v>64</v>
      </c>
      <c r="C90" s="234">
        <f t="shared" si="13"/>
        <v>6</v>
      </c>
      <c r="D90" s="235">
        <f t="shared" si="0"/>
        <v>1044047235.4534178</v>
      </c>
      <c r="E90" s="235">
        <f t="shared" si="1"/>
        <v>7116108.2346761795</v>
      </c>
      <c r="F90" s="235">
        <f t="shared" si="2"/>
        <v>0</v>
      </c>
      <c r="G90" s="235">
        <f t="shared" si="3"/>
        <v>6090275.5401449371</v>
      </c>
      <c r="H90" s="235">
        <f t="shared" si="4"/>
        <v>1025832.6945312424</v>
      </c>
      <c r="I90" s="236">
        <f t="shared" si="5"/>
        <v>1043021402.7588866</v>
      </c>
    </row>
    <row r="91" spans="2:9" x14ac:dyDescent="0.3">
      <c r="B91" s="233">
        <f t="shared" si="11"/>
        <v>65</v>
      </c>
      <c r="C91" s="234">
        <f t="shared" si="13"/>
        <v>6</v>
      </c>
      <c r="D91" s="235">
        <f t="shared" si="0"/>
        <v>1043021402.7588866</v>
      </c>
      <c r="E91" s="235">
        <f t="shared" si="1"/>
        <v>7116108.2346761795</v>
      </c>
      <c r="F91" s="235">
        <f t="shared" si="2"/>
        <v>0</v>
      </c>
      <c r="G91" s="235">
        <f t="shared" si="3"/>
        <v>6084291.5160935055</v>
      </c>
      <c r="H91" s="235">
        <f t="shared" si="4"/>
        <v>1031816.7185826739</v>
      </c>
      <c r="I91" s="236">
        <f t="shared" si="5"/>
        <v>1041989586.0403039</v>
      </c>
    </row>
    <row r="92" spans="2:9" x14ac:dyDescent="0.3">
      <c r="B92" s="233">
        <f t="shared" si="11"/>
        <v>66</v>
      </c>
      <c r="C92" s="234">
        <f t="shared" si="13"/>
        <v>6</v>
      </c>
      <c r="D92" s="235">
        <f t="shared" ref="D92:D155" si="14">I91</f>
        <v>1041989586.0403039</v>
      </c>
      <c r="E92" s="235">
        <f t="shared" ref="E92:E155" si="15">IF(B92&gt;($D$5*12),0,IF(B92&lt;$D$6*12+1,D92*($D$4/12),$D$8))</f>
        <v>7116108.2346761795</v>
      </c>
      <c r="F92" s="235">
        <f t="shared" ref="F92:F155" si="16">IF(B92=($D$5*12),D92-H92,0)</f>
        <v>0</v>
      </c>
      <c r="G92" s="235">
        <f t="shared" ref="G92:G155" si="17">$D$4/12*D92</f>
        <v>6078272.5852351068</v>
      </c>
      <c r="H92" s="235">
        <f t="shared" ref="H92:H155" si="18">IF(B92&lt;($D$6*12+1),0,E92-G92)</f>
        <v>1037835.6494410727</v>
      </c>
      <c r="I92" s="236">
        <f t="shared" ref="I92:I155" si="19">D92-H92-F92</f>
        <v>1040951750.3908628</v>
      </c>
    </row>
    <row r="93" spans="2:9" x14ac:dyDescent="0.3">
      <c r="B93" s="233">
        <f t="shared" ref="B93:B156" si="20">B92+1</f>
        <v>67</v>
      </c>
      <c r="C93" s="234">
        <f t="shared" si="13"/>
        <v>6</v>
      </c>
      <c r="D93" s="235">
        <f t="shared" si="14"/>
        <v>1040951750.3908628</v>
      </c>
      <c r="E93" s="235">
        <f t="shared" si="15"/>
        <v>7116108.2346761795</v>
      </c>
      <c r="F93" s="235">
        <f t="shared" si="16"/>
        <v>0</v>
      </c>
      <c r="G93" s="235">
        <f t="shared" si="17"/>
        <v>6072218.5439467002</v>
      </c>
      <c r="H93" s="235">
        <f t="shared" si="18"/>
        <v>1043889.6907294793</v>
      </c>
      <c r="I93" s="236">
        <f t="shared" si="19"/>
        <v>1039907860.7001333</v>
      </c>
    </row>
    <row r="94" spans="2:9" x14ac:dyDescent="0.3">
      <c r="B94" s="233">
        <f t="shared" si="20"/>
        <v>68</v>
      </c>
      <c r="C94" s="234">
        <f t="shared" si="13"/>
        <v>6</v>
      </c>
      <c r="D94" s="235">
        <f t="shared" si="14"/>
        <v>1039907860.7001333</v>
      </c>
      <c r="E94" s="235">
        <f t="shared" si="15"/>
        <v>7116108.2346761795</v>
      </c>
      <c r="F94" s="235">
        <f t="shared" si="16"/>
        <v>0</v>
      </c>
      <c r="G94" s="235">
        <f t="shared" si="17"/>
        <v>6066129.1874174448</v>
      </c>
      <c r="H94" s="235">
        <f t="shared" si="18"/>
        <v>1049979.0472587347</v>
      </c>
      <c r="I94" s="236">
        <f t="shared" si="19"/>
        <v>1038857881.6528746</v>
      </c>
    </row>
    <row r="95" spans="2:9" x14ac:dyDescent="0.3">
      <c r="B95" s="233">
        <f t="shared" si="20"/>
        <v>69</v>
      </c>
      <c r="C95" s="234">
        <f t="shared" si="13"/>
        <v>6</v>
      </c>
      <c r="D95" s="235">
        <f t="shared" si="14"/>
        <v>1038857881.6528746</v>
      </c>
      <c r="E95" s="235">
        <f t="shared" si="15"/>
        <v>7116108.2346761795</v>
      </c>
      <c r="F95" s="235">
        <f t="shared" si="16"/>
        <v>0</v>
      </c>
      <c r="G95" s="235">
        <f t="shared" si="17"/>
        <v>6060004.3096417692</v>
      </c>
      <c r="H95" s="235">
        <f t="shared" si="18"/>
        <v>1056103.9250344103</v>
      </c>
      <c r="I95" s="236">
        <f t="shared" si="19"/>
        <v>1037801777.7278402</v>
      </c>
    </row>
    <row r="96" spans="2:9" x14ac:dyDescent="0.3">
      <c r="B96" s="233">
        <f t="shared" si="20"/>
        <v>70</v>
      </c>
      <c r="C96" s="234">
        <f t="shared" si="13"/>
        <v>6</v>
      </c>
      <c r="D96" s="235">
        <f t="shared" si="14"/>
        <v>1037801777.7278402</v>
      </c>
      <c r="E96" s="235">
        <f t="shared" si="15"/>
        <v>7116108.2346761795</v>
      </c>
      <c r="F96" s="235">
        <f t="shared" si="16"/>
        <v>0</v>
      </c>
      <c r="G96" s="235">
        <f t="shared" si="17"/>
        <v>6053843.7034124015</v>
      </c>
      <c r="H96" s="235">
        <f t="shared" si="18"/>
        <v>1062264.531263778</v>
      </c>
      <c r="I96" s="236">
        <f t="shared" si="19"/>
        <v>1036739513.1965764</v>
      </c>
    </row>
    <row r="97" spans="2:9" x14ac:dyDescent="0.3">
      <c r="B97" s="233">
        <f t="shared" si="20"/>
        <v>71</v>
      </c>
      <c r="C97" s="234">
        <f t="shared" si="13"/>
        <v>6</v>
      </c>
      <c r="D97" s="235">
        <f t="shared" si="14"/>
        <v>1036739513.1965764</v>
      </c>
      <c r="E97" s="235">
        <f t="shared" si="15"/>
        <v>7116108.2346761795</v>
      </c>
      <c r="F97" s="235">
        <f t="shared" si="16"/>
        <v>0</v>
      </c>
      <c r="G97" s="235">
        <f t="shared" si="17"/>
        <v>6047647.1603133623</v>
      </c>
      <c r="H97" s="235">
        <f t="shared" si="18"/>
        <v>1068461.0743628172</v>
      </c>
      <c r="I97" s="236">
        <f t="shared" si="19"/>
        <v>1035671052.1222135</v>
      </c>
    </row>
    <row r="98" spans="2:9" x14ac:dyDescent="0.3">
      <c r="B98" s="233">
        <f t="shared" si="20"/>
        <v>72</v>
      </c>
      <c r="C98" s="234">
        <f t="shared" si="13"/>
        <v>6</v>
      </c>
      <c r="D98" s="235">
        <f t="shared" si="14"/>
        <v>1035671052.1222135</v>
      </c>
      <c r="E98" s="235">
        <f t="shared" si="15"/>
        <v>7116108.2346761795</v>
      </c>
      <c r="F98" s="235">
        <f t="shared" si="16"/>
        <v>0</v>
      </c>
      <c r="G98" s="235">
        <f t="shared" si="17"/>
        <v>6041414.4707129123</v>
      </c>
      <c r="H98" s="235">
        <f t="shared" si="18"/>
        <v>1074693.7639632672</v>
      </c>
      <c r="I98" s="236">
        <f t="shared" si="19"/>
        <v>1034596358.3582503</v>
      </c>
    </row>
    <row r="99" spans="2:9" x14ac:dyDescent="0.3">
      <c r="B99" s="233">
        <f t="shared" si="20"/>
        <v>73</v>
      </c>
      <c r="C99" s="234">
        <f t="shared" si="13"/>
        <v>7</v>
      </c>
      <c r="D99" s="235">
        <f t="shared" si="14"/>
        <v>1034596358.3582503</v>
      </c>
      <c r="E99" s="235">
        <f t="shared" si="15"/>
        <v>7116108.2346761795</v>
      </c>
      <c r="F99" s="235">
        <f t="shared" si="16"/>
        <v>0</v>
      </c>
      <c r="G99" s="235">
        <f t="shared" si="17"/>
        <v>6035145.4237564597</v>
      </c>
      <c r="H99" s="235">
        <f t="shared" si="18"/>
        <v>1080962.8109197197</v>
      </c>
      <c r="I99" s="236">
        <f t="shared" si="19"/>
        <v>1033515395.5473305</v>
      </c>
    </row>
    <row r="100" spans="2:9" x14ac:dyDescent="0.3">
      <c r="B100" s="233">
        <f t="shared" si="20"/>
        <v>74</v>
      </c>
      <c r="C100" s="234">
        <f t="shared" si="13"/>
        <v>7</v>
      </c>
      <c r="D100" s="235">
        <f t="shared" si="14"/>
        <v>1033515395.5473305</v>
      </c>
      <c r="E100" s="235">
        <f t="shared" si="15"/>
        <v>7116108.2346761795</v>
      </c>
      <c r="F100" s="235">
        <f t="shared" si="16"/>
        <v>0</v>
      </c>
      <c r="G100" s="235">
        <f t="shared" si="17"/>
        <v>6028839.8073594281</v>
      </c>
      <c r="H100" s="235">
        <f t="shared" si="18"/>
        <v>1087268.4273167513</v>
      </c>
      <c r="I100" s="236">
        <f t="shared" si="19"/>
        <v>1032428127.1200137</v>
      </c>
    </row>
    <row r="101" spans="2:9" x14ac:dyDescent="0.3">
      <c r="B101" s="233">
        <f t="shared" si="20"/>
        <v>75</v>
      </c>
      <c r="C101" s="234">
        <f t="shared" si="13"/>
        <v>7</v>
      </c>
      <c r="D101" s="235">
        <f t="shared" si="14"/>
        <v>1032428127.1200137</v>
      </c>
      <c r="E101" s="235">
        <f t="shared" si="15"/>
        <v>7116108.2346761795</v>
      </c>
      <c r="F101" s="235">
        <f t="shared" si="16"/>
        <v>0</v>
      </c>
      <c r="G101" s="235">
        <f t="shared" si="17"/>
        <v>6022497.4082000805</v>
      </c>
      <c r="H101" s="235">
        <f t="shared" si="18"/>
        <v>1093610.826476099</v>
      </c>
      <c r="I101" s="236">
        <f t="shared" si="19"/>
        <v>1031334516.2935376</v>
      </c>
    </row>
    <row r="102" spans="2:9" x14ac:dyDescent="0.3">
      <c r="B102" s="233">
        <f t="shared" si="20"/>
        <v>76</v>
      </c>
      <c r="C102" s="234">
        <f t="shared" si="13"/>
        <v>7</v>
      </c>
      <c r="D102" s="235">
        <f t="shared" si="14"/>
        <v>1031334516.2935376</v>
      </c>
      <c r="E102" s="235">
        <f t="shared" si="15"/>
        <v>7116108.2346761795</v>
      </c>
      <c r="F102" s="235">
        <f t="shared" si="16"/>
        <v>0</v>
      </c>
      <c r="G102" s="235">
        <f t="shared" si="17"/>
        <v>6016118.0117123034</v>
      </c>
      <c r="H102" s="235">
        <f t="shared" si="18"/>
        <v>1099990.2229638761</v>
      </c>
      <c r="I102" s="236">
        <f t="shared" si="19"/>
        <v>1030234526.0705737</v>
      </c>
    </row>
    <row r="103" spans="2:9" x14ac:dyDescent="0.3">
      <c r="B103" s="233">
        <f t="shared" si="20"/>
        <v>77</v>
      </c>
      <c r="C103" s="234">
        <f t="shared" si="13"/>
        <v>7</v>
      </c>
      <c r="D103" s="235">
        <f t="shared" si="14"/>
        <v>1030234526.0705737</v>
      </c>
      <c r="E103" s="235">
        <f t="shared" si="15"/>
        <v>7116108.2346761795</v>
      </c>
      <c r="F103" s="235">
        <f t="shared" si="16"/>
        <v>0</v>
      </c>
      <c r="G103" s="235">
        <f t="shared" si="17"/>
        <v>6009701.4020783463</v>
      </c>
      <c r="H103" s="235">
        <f t="shared" si="18"/>
        <v>1106406.8325978331</v>
      </c>
      <c r="I103" s="236">
        <f t="shared" si="19"/>
        <v>1029128119.2379758</v>
      </c>
    </row>
    <row r="104" spans="2:9" x14ac:dyDescent="0.3">
      <c r="B104" s="233">
        <f t="shared" si="20"/>
        <v>78</v>
      </c>
      <c r="C104" s="234">
        <f t="shared" ref="C104:C167" si="21">C92+1</f>
        <v>7</v>
      </c>
      <c r="D104" s="235">
        <f t="shared" si="14"/>
        <v>1029128119.2379758</v>
      </c>
      <c r="E104" s="235">
        <f t="shared" si="15"/>
        <v>7116108.2346761795</v>
      </c>
      <c r="F104" s="235">
        <f t="shared" si="16"/>
        <v>0</v>
      </c>
      <c r="G104" s="235">
        <f t="shared" si="17"/>
        <v>6003247.362221526</v>
      </c>
      <c r="H104" s="235">
        <f t="shared" si="18"/>
        <v>1112860.8724546535</v>
      </c>
      <c r="I104" s="236">
        <f t="shared" si="19"/>
        <v>1028015258.3655212</v>
      </c>
    </row>
    <row r="105" spans="2:9" x14ac:dyDescent="0.3">
      <c r="B105" s="233">
        <f t="shared" si="20"/>
        <v>79</v>
      </c>
      <c r="C105" s="234">
        <f t="shared" si="21"/>
        <v>7</v>
      </c>
      <c r="D105" s="235">
        <f t="shared" si="14"/>
        <v>1028015258.3655212</v>
      </c>
      <c r="E105" s="235">
        <f t="shared" si="15"/>
        <v>7116108.2346761795</v>
      </c>
      <c r="F105" s="235">
        <f t="shared" si="16"/>
        <v>0</v>
      </c>
      <c r="G105" s="235">
        <f t="shared" si="17"/>
        <v>5996755.673798874</v>
      </c>
      <c r="H105" s="235">
        <f t="shared" si="18"/>
        <v>1119352.5608773055</v>
      </c>
      <c r="I105" s="236">
        <f t="shared" si="19"/>
        <v>1026895905.8046439</v>
      </c>
    </row>
    <row r="106" spans="2:9" x14ac:dyDescent="0.3">
      <c r="B106" s="233">
        <f t="shared" si="20"/>
        <v>80</v>
      </c>
      <c r="C106" s="234">
        <f t="shared" si="21"/>
        <v>7</v>
      </c>
      <c r="D106" s="235">
        <f t="shared" si="14"/>
        <v>1026895905.8046439</v>
      </c>
      <c r="E106" s="235">
        <f t="shared" si="15"/>
        <v>7116108.2346761795</v>
      </c>
      <c r="F106" s="235">
        <f t="shared" si="16"/>
        <v>0</v>
      </c>
      <c r="G106" s="235">
        <f t="shared" si="17"/>
        <v>5990226.1171937566</v>
      </c>
      <c r="H106" s="235">
        <f t="shared" si="18"/>
        <v>1125882.1174824229</v>
      </c>
      <c r="I106" s="236">
        <f t="shared" si="19"/>
        <v>1025770023.6871614</v>
      </c>
    </row>
    <row r="107" spans="2:9" x14ac:dyDescent="0.3">
      <c r="B107" s="233">
        <f t="shared" si="20"/>
        <v>81</v>
      </c>
      <c r="C107" s="234">
        <f t="shared" si="21"/>
        <v>7</v>
      </c>
      <c r="D107" s="235">
        <f t="shared" si="14"/>
        <v>1025770023.6871614</v>
      </c>
      <c r="E107" s="235">
        <f t="shared" si="15"/>
        <v>7116108.2346761795</v>
      </c>
      <c r="F107" s="235">
        <f t="shared" si="16"/>
        <v>0</v>
      </c>
      <c r="G107" s="235">
        <f t="shared" si="17"/>
        <v>5983658.4715084424</v>
      </c>
      <c r="H107" s="235">
        <f t="shared" si="18"/>
        <v>1132449.7631677371</v>
      </c>
      <c r="I107" s="236">
        <f t="shared" si="19"/>
        <v>1024637573.9239937</v>
      </c>
    </row>
    <row r="108" spans="2:9" x14ac:dyDescent="0.3">
      <c r="B108" s="233">
        <f t="shared" si="20"/>
        <v>82</v>
      </c>
      <c r="C108" s="234">
        <f t="shared" si="21"/>
        <v>7</v>
      </c>
      <c r="D108" s="235">
        <f t="shared" si="14"/>
        <v>1024637573.9239937</v>
      </c>
      <c r="E108" s="235">
        <f t="shared" si="15"/>
        <v>7116108.2346761795</v>
      </c>
      <c r="F108" s="235">
        <f t="shared" si="16"/>
        <v>0</v>
      </c>
      <c r="G108" s="235">
        <f t="shared" si="17"/>
        <v>5977052.5145566305</v>
      </c>
      <c r="H108" s="235">
        <f t="shared" si="18"/>
        <v>1139055.720119549</v>
      </c>
      <c r="I108" s="236">
        <f t="shared" si="19"/>
        <v>1023498518.2038741</v>
      </c>
    </row>
    <row r="109" spans="2:9" x14ac:dyDescent="0.3">
      <c r="B109" s="233">
        <f t="shared" si="20"/>
        <v>83</v>
      </c>
      <c r="C109" s="234">
        <f t="shared" si="21"/>
        <v>7</v>
      </c>
      <c r="D109" s="235">
        <f t="shared" si="14"/>
        <v>1023498518.2038741</v>
      </c>
      <c r="E109" s="235">
        <f t="shared" si="15"/>
        <v>7116108.2346761795</v>
      </c>
      <c r="F109" s="235">
        <f t="shared" si="16"/>
        <v>0</v>
      </c>
      <c r="G109" s="235">
        <f t="shared" si="17"/>
        <v>5970408.0228559328</v>
      </c>
      <c r="H109" s="235">
        <f t="shared" si="18"/>
        <v>1145700.2118202467</v>
      </c>
      <c r="I109" s="236">
        <f t="shared" si="19"/>
        <v>1022352817.9920539</v>
      </c>
    </row>
    <row r="110" spans="2:9" x14ac:dyDescent="0.3">
      <c r="B110" s="233">
        <f t="shared" si="20"/>
        <v>84</v>
      </c>
      <c r="C110" s="234">
        <f t="shared" si="21"/>
        <v>7</v>
      </c>
      <c r="D110" s="235">
        <f t="shared" si="14"/>
        <v>1022352817.9920539</v>
      </c>
      <c r="E110" s="235">
        <f t="shared" si="15"/>
        <v>7116108.2346761795</v>
      </c>
      <c r="F110" s="235">
        <f t="shared" si="16"/>
        <v>0</v>
      </c>
      <c r="G110" s="235">
        <f t="shared" si="17"/>
        <v>5963724.7716203146</v>
      </c>
      <c r="H110" s="235">
        <f t="shared" si="18"/>
        <v>1152383.4630558649</v>
      </c>
      <c r="I110" s="236">
        <f t="shared" si="19"/>
        <v>1021200434.528998</v>
      </c>
    </row>
    <row r="111" spans="2:9" x14ac:dyDescent="0.3">
      <c r="B111" s="233">
        <f t="shared" si="20"/>
        <v>85</v>
      </c>
      <c r="C111" s="234">
        <f t="shared" si="21"/>
        <v>8</v>
      </c>
      <c r="D111" s="235">
        <f t="shared" si="14"/>
        <v>1021200434.528998</v>
      </c>
      <c r="E111" s="235">
        <f t="shared" si="15"/>
        <v>7116108.2346761795</v>
      </c>
      <c r="F111" s="235">
        <f t="shared" si="16"/>
        <v>0</v>
      </c>
      <c r="G111" s="235">
        <f t="shared" si="17"/>
        <v>5957002.5347524891</v>
      </c>
      <c r="H111" s="235">
        <f t="shared" si="18"/>
        <v>1159105.6999236904</v>
      </c>
      <c r="I111" s="236">
        <f t="shared" si="19"/>
        <v>1020041328.8290744</v>
      </c>
    </row>
    <row r="112" spans="2:9" x14ac:dyDescent="0.3">
      <c r="B112" s="233">
        <f t="shared" si="20"/>
        <v>86</v>
      </c>
      <c r="C112" s="234">
        <f t="shared" si="21"/>
        <v>8</v>
      </c>
      <c r="D112" s="235">
        <f t="shared" si="14"/>
        <v>1020041328.8290744</v>
      </c>
      <c r="E112" s="235">
        <f t="shared" si="15"/>
        <v>7116108.2346761795</v>
      </c>
      <c r="F112" s="235">
        <f t="shared" si="16"/>
        <v>0</v>
      </c>
      <c r="G112" s="235">
        <f t="shared" si="17"/>
        <v>5950241.0848362679</v>
      </c>
      <c r="H112" s="235">
        <f t="shared" si="18"/>
        <v>1165867.1498399116</v>
      </c>
      <c r="I112" s="236">
        <f t="shared" si="19"/>
        <v>1018875461.6792345</v>
      </c>
    </row>
    <row r="113" spans="2:9" x14ac:dyDescent="0.3">
      <c r="B113" s="233">
        <f t="shared" si="20"/>
        <v>87</v>
      </c>
      <c r="C113" s="234">
        <f t="shared" si="21"/>
        <v>8</v>
      </c>
      <c r="D113" s="235">
        <f t="shared" si="14"/>
        <v>1018875461.6792345</v>
      </c>
      <c r="E113" s="235">
        <f t="shared" si="15"/>
        <v>7116108.2346761795</v>
      </c>
      <c r="F113" s="235">
        <f t="shared" si="16"/>
        <v>0</v>
      </c>
      <c r="G113" s="235">
        <f t="shared" si="17"/>
        <v>5943440.193128868</v>
      </c>
      <c r="H113" s="235">
        <f t="shared" si="18"/>
        <v>1172668.0415473115</v>
      </c>
      <c r="I113" s="236">
        <f t="shared" si="19"/>
        <v>1017702793.6376872</v>
      </c>
    </row>
    <row r="114" spans="2:9" x14ac:dyDescent="0.3">
      <c r="B114" s="233">
        <f t="shared" si="20"/>
        <v>88</v>
      </c>
      <c r="C114" s="234">
        <f t="shared" si="21"/>
        <v>8</v>
      </c>
      <c r="D114" s="235">
        <f t="shared" si="14"/>
        <v>1017702793.6376872</v>
      </c>
      <c r="E114" s="235">
        <f t="shared" si="15"/>
        <v>7116108.2346761795</v>
      </c>
      <c r="F114" s="235">
        <f t="shared" si="16"/>
        <v>0</v>
      </c>
      <c r="G114" s="235">
        <f t="shared" si="17"/>
        <v>5936599.6295531755</v>
      </c>
      <c r="H114" s="235">
        <f t="shared" si="18"/>
        <v>1179508.6051230039</v>
      </c>
      <c r="I114" s="236">
        <f t="shared" si="19"/>
        <v>1016523285.0325642</v>
      </c>
    </row>
    <row r="115" spans="2:9" x14ac:dyDescent="0.3">
      <c r="B115" s="233">
        <f t="shared" si="20"/>
        <v>89</v>
      </c>
      <c r="C115" s="234">
        <f t="shared" si="21"/>
        <v>8</v>
      </c>
      <c r="D115" s="235">
        <f t="shared" si="14"/>
        <v>1016523285.0325642</v>
      </c>
      <c r="E115" s="235">
        <f t="shared" si="15"/>
        <v>7116108.2346761795</v>
      </c>
      <c r="F115" s="235">
        <f t="shared" si="16"/>
        <v>0</v>
      </c>
      <c r="G115" s="235">
        <f t="shared" si="17"/>
        <v>5929719.1626899578</v>
      </c>
      <c r="H115" s="235">
        <f t="shared" si="18"/>
        <v>1186389.0719862217</v>
      </c>
      <c r="I115" s="236">
        <f t="shared" si="19"/>
        <v>1015336895.960578</v>
      </c>
    </row>
    <row r="116" spans="2:9" x14ac:dyDescent="0.3">
      <c r="B116" s="233">
        <f t="shared" si="20"/>
        <v>90</v>
      </c>
      <c r="C116" s="234">
        <f t="shared" si="21"/>
        <v>8</v>
      </c>
      <c r="D116" s="235">
        <f t="shared" si="14"/>
        <v>1015336895.960578</v>
      </c>
      <c r="E116" s="235">
        <f t="shared" si="15"/>
        <v>7116108.2346761795</v>
      </c>
      <c r="F116" s="235">
        <f t="shared" si="16"/>
        <v>0</v>
      </c>
      <c r="G116" s="235">
        <f t="shared" si="17"/>
        <v>5922798.5597700384</v>
      </c>
      <c r="H116" s="235">
        <f t="shared" si="18"/>
        <v>1193309.6749061411</v>
      </c>
      <c r="I116" s="236">
        <f t="shared" si="19"/>
        <v>1014143586.2856718</v>
      </c>
    </row>
    <row r="117" spans="2:9" x14ac:dyDescent="0.3">
      <c r="B117" s="233">
        <f t="shared" si="20"/>
        <v>91</v>
      </c>
      <c r="C117" s="234">
        <f t="shared" si="21"/>
        <v>8</v>
      </c>
      <c r="D117" s="235">
        <f t="shared" si="14"/>
        <v>1014143586.2856718</v>
      </c>
      <c r="E117" s="235">
        <f t="shared" si="15"/>
        <v>7116108.2346761795</v>
      </c>
      <c r="F117" s="235">
        <f t="shared" si="16"/>
        <v>0</v>
      </c>
      <c r="G117" s="235">
        <f t="shared" si="17"/>
        <v>5915837.5866664192</v>
      </c>
      <c r="H117" s="235">
        <f t="shared" si="18"/>
        <v>1200270.6480097603</v>
      </c>
      <c r="I117" s="236">
        <f t="shared" si="19"/>
        <v>1012943315.6376621</v>
      </c>
    </row>
    <row r="118" spans="2:9" x14ac:dyDescent="0.3">
      <c r="B118" s="233">
        <f t="shared" si="20"/>
        <v>92</v>
      </c>
      <c r="C118" s="234">
        <f t="shared" si="21"/>
        <v>8</v>
      </c>
      <c r="D118" s="235">
        <f t="shared" si="14"/>
        <v>1012943315.6376621</v>
      </c>
      <c r="E118" s="235">
        <f t="shared" si="15"/>
        <v>7116108.2346761795</v>
      </c>
      <c r="F118" s="235">
        <f t="shared" si="16"/>
        <v>0</v>
      </c>
      <c r="G118" s="235">
        <f t="shared" si="17"/>
        <v>5908836.0078863623</v>
      </c>
      <c r="H118" s="235">
        <f t="shared" si="18"/>
        <v>1207272.2267898172</v>
      </c>
      <c r="I118" s="236">
        <f t="shared" si="19"/>
        <v>1011736043.4108722</v>
      </c>
    </row>
    <row r="119" spans="2:9" x14ac:dyDescent="0.3">
      <c r="B119" s="233">
        <f t="shared" si="20"/>
        <v>93</v>
      </c>
      <c r="C119" s="234">
        <f t="shared" si="21"/>
        <v>8</v>
      </c>
      <c r="D119" s="235">
        <f t="shared" si="14"/>
        <v>1011736043.4108722</v>
      </c>
      <c r="E119" s="235">
        <f t="shared" si="15"/>
        <v>7116108.2346761795</v>
      </c>
      <c r="F119" s="235">
        <f t="shared" si="16"/>
        <v>0</v>
      </c>
      <c r="G119" s="235">
        <f t="shared" si="17"/>
        <v>5901793.5865634214</v>
      </c>
      <c r="H119" s="235">
        <f t="shared" si="18"/>
        <v>1214314.6481127581</v>
      </c>
      <c r="I119" s="236">
        <f t="shared" si="19"/>
        <v>1010521728.7627594</v>
      </c>
    </row>
    <row r="120" spans="2:9" x14ac:dyDescent="0.3">
      <c r="B120" s="233">
        <f t="shared" si="20"/>
        <v>94</v>
      </c>
      <c r="C120" s="234">
        <f t="shared" si="21"/>
        <v>8</v>
      </c>
      <c r="D120" s="235">
        <f t="shared" si="14"/>
        <v>1010521728.7627594</v>
      </c>
      <c r="E120" s="235">
        <f t="shared" si="15"/>
        <v>7116108.2346761795</v>
      </c>
      <c r="F120" s="235">
        <f t="shared" si="16"/>
        <v>0</v>
      </c>
      <c r="G120" s="235">
        <f t="shared" si="17"/>
        <v>5894710.08444943</v>
      </c>
      <c r="H120" s="235">
        <f t="shared" si="18"/>
        <v>1221398.1502267495</v>
      </c>
      <c r="I120" s="236">
        <f t="shared" si="19"/>
        <v>1009300330.6125327</v>
      </c>
    </row>
    <row r="121" spans="2:9" x14ac:dyDescent="0.3">
      <c r="B121" s="233">
        <f t="shared" si="20"/>
        <v>95</v>
      </c>
      <c r="C121" s="234">
        <f t="shared" si="21"/>
        <v>8</v>
      </c>
      <c r="D121" s="235">
        <f t="shared" si="14"/>
        <v>1009300330.6125327</v>
      </c>
      <c r="E121" s="235">
        <f t="shared" si="15"/>
        <v>7116108.2346761795</v>
      </c>
      <c r="F121" s="235">
        <f t="shared" si="16"/>
        <v>0</v>
      </c>
      <c r="G121" s="235">
        <f t="shared" si="17"/>
        <v>5887585.2619064413</v>
      </c>
      <c r="H121" s="235">
        <f t="shared" si="18"/>
        <v>1228522.9727697382</v>
      </c>
      <c r="I121" s="236">
        <f t="shared" si="19"/>
        <v>1008071807.639763</v>
      </c>
    </row>
    <row r="122" spans="2:9" x14ac:dyDescent="0.3">
      <c r="B122" s="233">
        <f t="shared" si="20"/>
        <v>96</v>
      </c>
      <c r="C122" s="234">
        <f t="shared" si="21"/>
        <v>8</v>
      </c>
      <c r="D122" s="235">
        <f t="shared" si="14"/>
        <v>1008071807.639763</v>
      </c>
      <c r="E122" s="235">
        <f t="shared" si="15"/>
        <v>7116108.2346761795</v>
      </c>
      <c r="F122" s="235">
        <f t="shared" si="16"/>
        <v>0</v>
      </c>
      <c r="G122" s="235">
        <f t="shared" si="17"/>
        <v>5880418.8778986176</v>
      </c>
      <c r="H122" s="235">
        <f t="shared" si="18"/>
        <v>1235689.3567775618</v>
      </c>
      <c r="I122" s="236">
        <f t="shared" si="19"/>
        <v>1006836118.2829854</v>
      </c>
    </row>
    <row r="123" spans="2:9" x14ac:dyDescent="0.3">
      <c r="B123" s="233">
        <f t="shared" si="20"/>
        <v>97</v>
      </c>
      <c r="C123" s="234">
        <f t="shared" si="21"/>
        <v>9</v>
      </c>
      <c r="D123" s="235">
        <f t="shared" si="14"/>
        <v>1006836118.2829854</v>
      </c>
      <c r="E123" s="235">
        <f t="shared" si="15"/>
        <v>7116108.2346761795</v>
      </c>
      <c r="F123" s="235">
        <f t="shared" si="16"/>
        <v>0</v>
      </c>
      <c r="G123" s="235">
        <f t="shared" si="17"/>
        <v>5873210.6899840822</v>
      </c>
      <c r="H123" s="235">
        <f t="shared" si="18"/>
        <v>1242897.5446920972</v>
      </c>
      <c r="I123" s="236">
        <f t="shared" si="19"/>
        <v>1005593220.7382934</v>
      </c>
    </row>
    <row r="124" spans="2:9" x14ac:dyDescent="0.3">
      <c r="B124" s="233">
        <f t="shared" si="20"/>
        <v>98</v>
      </c>
      <c r="C124" s="234">
        <f t="shared" si="21"/>
        <v>9</v>
      </c>
      <c r="D124" s="235">
        <f t="shared" si="14"/>
        <v>1005593220.7382934</v>
      </c>
      <c r="E124" s="235">
        <f t="shared" si="15"/>
        <v>7116108.2346761795</v>
      </c>
      <c r="F124" s="235">
        <f t="shared" si="16"/>
        <v>0</v>
      </c>
      <c r="G124" s="235">
        <f t="shared" si="17"/>
        <v>5865960.4543067114</v>
      </c>
      <c r="H124" s="235">
        <f t="shared" si="18"/>
        <v>1250147.780369468</v>
      </c>
      <c r="I124" s="236">
        <f t="shared" si="19"/>
        <v>1004343072.9579239</v>
      </c>
    </row>
    <row r="125" spans="2:9" x14ac:dyDescent="0.3">
      <c r="B125" s="233">
        <f t="shared" si="20"/>
        <v>99</v>
      </c>
      <c r="C125" s="234">
        <f t="shared" si="21"/>
        <v>9</v>
      </c>
      <c r="D125" s="235">
        <f t="shared" si="14"/>
        <v>1004343072.9579239</v>
      </c>
      <c r="E125" s="235">
        <f t="shared" si="15"/>
        <v>7116108.2346761795</v>
      </c>
      <c r="F125" s="235">
        <f t="shared" si="16"/>
        <v>0</v>
      </c>
      <c r="G125" s="235">
        <f t="shared" si="17"/>
        <v>5858667.9255878897</v>
      </c>
      <c r="H125" s="235">
        <f t="shared" si="18"/>
        <v>1257440.3090882897</v>
      </c>
      <c r="I125" s="236">
        <f t="shared" si="19"/>
        <v>1003085632.6488357</v>
      </c>
    </row>
    <row r="126" spans="2:9" x14ac:dyDescent="0.3">
      <c r="B126" s="233">
        <f t="shared" si="20"/>
        <v>100</v>
      </c>
      <c r="C126" s="234">
        <f t="shared" si="21"/>
        <v>9</v>
      </c>
      <c r="D126" s="235">
        <f t="shared" si="14"/>
        <v>1003085632.6488357</v>
      </c>
      <c r="E126" s="235">
        <f t="shared" si="15"/>
        <v>7116108.2346761795</v>
      </c>
      <c r="F126" s="235">
        <f t="shared" si="16"/>
        <v>0</v>
      </c>
      <c r="G126" s="235">
        <f t="shared" si="17"/>
        <v>5851332.857118208</v>
      </c>
      <c r="H126" s="235">
        <f t="shared" si="18"/>
        <v>1264775.3775579715</v>
      </c>
      <c r="I126" s="236">
        <f t="shared" si="19"/>
        <v>1001820857.2712777</v>
      </c>
    </row>
    <row r="127" spans="2:9" x14ac:dyDescent="0.3">
      <c r="B127" s="233">
        <f t="shared" si="20"/>
        <v>101</v>
      </c>
      <c r="C127" s="234">
        <f t="shared" si="21"/>
        <v>9</v>
      </c>
      <c r="D127" s="235">
        <f t="shared" si="14"/>
        <v>1001820857.2712777</v>
      </c>
      <c r="E127" s="235">
        <f t="shared" si="15"/>
        <v>7116108.2346761795</v>
      </c>
      <c r="F127" s="235">
        <f t="shared" si="16"/>
        <v>0</v>
      </c>
      <c r="G127" s="235">
        <f t="shared" si="17"/>
        <v>5843955.0007491196</v>
      </c>
      <c r="H127" s="235">
        <f t="shared" si="18"/>
        <v>1272153.2339270599</v>
      </c>
      <c r="I127" s="236">
        <f t="shared" si="19"/>
        <v>1000548704.0373507</v>
      </c>
    </row>
    <row r="128" spans="2:9" x14ac:dyDescent="0.3">
      <c r="B128" s="233">
        <f t="shared" si="20"/>
        <v>102</v>
      </c>
      <c r="C128" s="234">
        <f t="shared" si="21"/>
        <v>9</v>
      </c>
      <c r="D128" s="235">
        <f t="shared" si="14"/>
        <v>1000548704.0373507</v>
      </c>
      <c r="E128" s="235">
        <f t="shared" si="15"/>
        <v>7116108.2346761795</v>
      </c>
      <c r="F128" s="235">
        <f t="shared" si="16"/>
        <v>0</v>
      </c>
      <c r="G128" s="235">
        <f t="shared" si="17"/>
        <v>5836534.1068845456</v>
      </c>
      <c r="H128" s="235">
        <f t="shared" si="18"/>
        <v>1279574.1277916338</v>
      </c>
      <c r="I128" s="236">
        <f t="shared" si="19"/>
        <v>999269129.90955901</v>
      </c>
    </row>
    <row r="129" spans="2:9" x14ac:dyDescent="0.3">
      <c r="B129" s="233">
        <f t="shared" si="20"/>
        <v>103</v>
      </c>
      <c r="C129" s="234">
        <f t="shared" si="21"/>
        <v>9</v>
      </c>
      <c r="D129" s="235">
        <f t="shared" si="14"/>
        <v>999269129.90955901</v>
      </c>
      <c r="E129" s="235">
        <f t="shared" si="15"/>
        <v>7116108.2346761795</v>
      </c>
      <c r="F129" s="235">
        <f t="shared" si="16"/>
        <v>0</v>
      </c>
      <c r="G129" s="235">
        <f t="shared" si="17"/>
        <v>5829069.9244724279</v>
      </c>
      <c r="H129" s="235">
        <f t="shared" si="18"/>
        <v>1287038.3102037515</v>
      </c>
      <c r="I129" s="236">
        <f t="shared" si="19"/>
        <v>997982091.59935522</v>
      </c>
    </row>
    <row r="130" spans="2:9" x14ac:dyDescent="0.3">
      <c r="B130" s="233">
        <f t="shared" si="20"/>
        <v>104</v>
      </c>
      <c r="C130" s="234">
        <f t="shared" si="21"/>
        <v>9</v>
      </c>
      <c r="D130" s="235">
        <f t="shared" si="14"/>
        <v>997982091.59935522</v>
      </c>
      <c r="E130" s="235">
        <f t="shared" si="15"/>
        <v>7116108.2346761795</v>
      </c>
      <c r="F130" s="235">
        <f t="shared" si="16"/>
        <v>0</v>
      </c>
      <c r="G130" s="235">
        <f t="shared" si="17"/>
        <v>5821562.2009962387</v>
      </c>
      <c r="H130" s="235">
        <f t="shared" si="18"/>
        <v>1294546.0336799407</v>
      </c>
      <c r="I130" s="236">
        <f t="shared" si="19"/>
        <v>996687545.56567526</v>
      </c>
    </row>
    <row r="131" spans="2:9" x14ac:dyDescent="0.3">
      <c r="B131" s="233">
        <f t="shared" si="20"/>
        <v>105</v>
      </c>
      <c r="C131" s="234">
        <f t="shared" si="21"/>
        <v>9</v>
      </c>
      <c r="D131" s="235">
        <f t="shared" si="14"/>
        <v>996687545.56567526</v>
      </c>
      <c r="E131" s="235">
        <f t="shared" si="15"/>
        <v>7116108.2346761795</v>
      </c>
      <c r="F131" s="235">
        <f t="shared" si="16"/>
        <v>0</v>
      </c>
      <c r="G131" s="235">
        <f t="shared" si="17"/>
        <v>5814010.682466439</v>
      </c>
      <c r="H131" s="235">
        <f t="shared" si="18"/>
        <v>1302097.5522097405</v>
      </c>
      <c r="I131" s="236">
        <f t="shared" si="19"/>
        <v>995385448.01346552</v>
      </c>
    </row>
    <row r="132" spans="2:9" x14ac:dyDescent="0.3">
      <c r="B132" s="233">
        <f t="shared" si="20"/>
        <v>106</v>
      </c>
      <c r="C132" s="234">
        <f t="shared" si="21"/>
        <v>9</v>
      </c>
      <c r="D132" s="235">
        <f t="shared" si="14"/>
        <v>995385448.01346552</v>
      </c>
      <c r="E132" s="235">
        <f t="shared" si="15"/>
        <v>7116108.2346761795</v>
      </c>
      <c r="F132" s="235">
        <f t="shared" si="16"/>
        <v>0</v>
      </c>
      <c r="G132" s="235">
        <f t="shared" si="17"/>
        <v>5806415.1134118829</v>
      </c>
      <c r="H132" s="235">
        <f t="shared" si="18"/>
        <v>1309693.1212642966</v>
      </c>
      <c r="I132" s="236">
        <f t="shared" si="19"/>
        <v>994075754.89220119</v>
      </c>
    </row>
    <row r="133" spans="2:9" x14ac:dyDescent="0.3">
      <c r="B133" s="233">
        <f t="shared" si="20"/>
        <v>107</v>
      </c>
      <c r="C133" s="234">
        <f t="shared" si="21"/>
        <v>9</v>
      </c>
      <c r="D133" s="235">
        <f t="shared" si="14"/>
        <v>994075754.89220119</v>
      </c>
      <c r="E133" s="235">
        <f t="shared" si="15"/>
        <v>7116108.2346761795</v>
      </c>
      <c r="F133" s="235">
        <f t="shared" si="16"/>
        <v>0</v>
      </c>
      <c r="G133" s="235">
        <f t="shared" si="17"/>
        <v>5798775.2368711736</v>
      </c>
      <c r="H133" s="235">
        <f t="shared" si="18"/>
        <v>1317332.9978050059</v>
      </c>
      <c r="I133" s="236">
        <f t="shared" si="19"/>
        <v>992758421.89439619</v>
      </c>
    </row>
    <row r="134" spans="2:9" x14ac:dyDescent="0.3">
      <c r="B134" s="233">
        <f t="shared" si="20"/>
        <v>108</v>
      </c>
      <c r="C134" s="234">
        <f t="shared" si="21"/>
        <v>9</v>
      </c>
      <c r="D134" s="235">
        <f t="shared" si="14"/>
        <v>992758421.89439619</v>
      </c>
      <c r="E134" s="235">
        <f t="shared" si="15"/>
        <v>7116108.2346761795</v>
      </c>
      <c r="F134" s="235">
        <f t="shared" si="16"/>
        <v>0</v>
      </c>
      <c r="G134" s="235">
        <f t="shared" si="17"/>
        <v>5791090.7943839785</v>
      </c>
      <c r="H134" s="235">
        <f t="shared" si="18"/>
        <v>1325017.440292201</v>
      </c>
      <c r="I134" s="236">
        <f t="shared" si="19"/>
        <v>991433404.45410395</v>
      </c>
    </row>
    <row r="135" spans="2:9" x14ac:dyDescent="0.3">
      <c r="B135" s="233">
        <f t="shared" si="20"/>
        <v>109</v>
      </c>
      <c r="C135" s="234">
        <f t="shared" si="21"/>
        <v>10</v>
      </c>
      <c r="D135" s="235">
        <f t="shared" si="14"/>
        <v>991433404.45410395</v>
      </c>
      <c r="E135" s="235">
        <f t="shared" si="15"/>
        <v>7116108.2346761795</v>
      </c>
      <c r="F135" s="235">
        <f t="shared" si="16"/>
        <v>0</v>
      </c>
      <c r="G135" s="235">
        <f t="shared" si="17"/>
        <v>5783361.5259822737</v>
      </c>
      <c r="H135" s="235">
        <f t="shared" si="18"/>
        <v>1332746.7086939057</v>
      </c>
      <c r="I135" s="236">
        <f t="shared" si="19"/>
        <v>990100657.74541008</v>
      </c>
    </row>
    <row r="136" spans="2:9" x14ac:dyDescent="0.3">
      <c r="B136" s="233">
        <f t="shared" si="20"/>
        <v>110</v>
      </c>
      <c r="C136" s="234">
        <f t="shared" si="21"/>
        <v>10</v>
      </c>
      <c r="D136" s="235">
        <f t="shared" si="14"/>
        <v>990100657.74541008</v>
      </c>
      <c r="E136" s="235">
        <f t="shared" si="15"/>
        <v>7116108.2346761795</v>
      </c>
      <c r="F136" s="235">
        <f t="shared" si="16"/>
        <v>0</v>
      </c>
      <c r="G136" s="235">
        <f t="shared" si="17"/>
        <v>5775587.1701815594</v>
      </c>
      <c r="H136" s="235">
        <f t="shared" si="18"/>
        <v>1340521.0644946201</v>
      </c>
      <c r="I136" s="236">
        <f t="shared" si="19"/>
        <v>988760136.68091547</v>
      </c>
    </row>
    <row r="137" spans="2:9" x14ac:dyDescent="0.3">
      <c r="B137" s="233">
        <f t="shared" si="20"/>
        <v>111</v>
      </c>
      <c r="C137" s="234">
        <f t="shared" si="21"/>
        <v>10</v>
      </c>
      <c r="D137" s="235">
        <f t="shared" si="14"/>
        <v>988760136.68091547</v>
      </c>
      <c r="E137" s="235">
        <f t="shared" si="15"/>
        <v>7116108.2346761795</v>
      </c>
      <c r="F137" s="235">
        <f t="shared" si="16"/>
        <v>0</v>
      </c>
      <c r="G137" s="235">
        <f t="shared" si="17"/>
        <v>5767767.4639720069</v>
      </c>
      <c r="H137" s="235">
        <f t="shared" si="18"/>
        <v>1348340.7707041726</v>
      </c>
      <c r="I137" s="236">
        <f t="shared" si="19"/>
        <v>987411795.91021132</v>
      </c>
    </row>
    <row r="138" spans="2:9" x14ac:dyDescent="0.3">
      <c r="B138" s="233">
        <f t="shared" si="20"/>
        <v>112</v>
      </c>
      <c r="C138" s="234">
        <f t="shared" si="21"/>
        <v>10</v>
      </c>
      <c r="D138" s="235">
        <f t="shared" si="14"/>
        <v>987411795.91021132</v>
      </c>
      <c r="E138" s="235">
        <f t="shared" si="15"/>
        <v>7116108.2346761795</v>
      </c>
      <c r="F138" s="235">
        <f t="shared" si="16"/>
        <v>0</v>
      </c>
      <c r="G138" s="235">
        <f t="shared" si="17"/>
        <v>5759902.1428095661</v>
      </c>
      <c r="H138" s="235">
        <f t="shared" si="18"/>
        <v>1356206.0918666134</v>
      </c>
      <c r="I138" s="236">
        <f t="shared" si="19"/>
        <v>986055589.81834471</v>
      </c>
    </row>
    <row r="139" spans="2:9" x14ac:dyDescent="0.3">
      <c r="B139" s="233">
        <f t="shared" si="20"/>
        <v>113</v>
      </c>
      <c r="C139" s="234">
        <f t="shared" si="21"/>
        <v>10</v>
      </c>
      <c r="D139" s="235">
        <f t="shared" si="14"/>
        <v>986055589.81834471</v>
      </c>
      <c r="E139" s="235">
        <f t="shared" si="15"/>
        <v>7116108.2346761795</v>
      </c>
      <c r="F139" s="235">
        <f t="shared" si="16"/>
        <v>0</v>
      </c>
      <c r="G139" s="235">
        <f t="shared" si="17"/>
        <v>5751990.9406070113</v>
      </c>
      <c r="H139" s="235">
        <f t="shared" si="18"/>
        <v>1364117.2940691682</v>
      </c>
      <c r="I139" s="236">
        <f t="shared" si="19"/>
        <v>984691472.52427554</v>
      </c>
    </row>
    <row r="140" spans="2:9" x14ac:dyDescent="0.3">
      <c r="B140" s="233">
        <f t="shared" si="20"/>
        <v>114</v>
      </c>
      <c r="C140" s="234">
        <f t="shared" si="21"/>
        <v>10</v>
      </c>
      <c r="D140" s="235">
        <f t="shared" si="14"/>
        <v>984691472.52427554</v>
      </c>
      <c r="E140" s="235">
        <f t="shared" si="15"/>
        <v>7116108.2346761795</v>
      </c>
      <c r="F140" s="235">
        <f t="shared" si="16"/>
        <v>0</v>
      </c>
      <c r="G140" s="235">
        <f t="shared" si="17"/>
        <v>5744033.5897249412</v>
      </c>
      <c r="H140" s="235">
        <f t="shared" si="18"/>
        <v>1372074.6449512383</v>
      </c>
      <c r="I140" s="236">
        <f t="shared" si="19"/>
        <v>983319397.87932432</v>
      </c>
    </row>
    <row r="141" spans="2:9" x14ac:dyDescent="0.3">
      <c r="B141" s="233">
        <f t="shared" si="20"/>
        <v>115</v>
      </c>
      <c r="C141" s="234">
        <f t="shared" si="21"/>
        <v>10</v>
      </c>
      <c r="D141" s="235">
        <f t="shared" si="14"/>
        <v>983319397.87932432</v>
      </c>
      <c r="E141" s="235">
        <f t="shared" si="15"/>
        <v>7116108.2346761795</v>
      </c>
      <c r="F141" s="235">
        <f t="shared" si="16"/>
        <v>0</v>
      </c>
      <c r="G141" s="235">
        <f t="shared" si="17"/>
        <v>5736029.8209627252</v>
      </c>
      <c r="H141" s="235">
        <f t="shared" si="18"/>
        <v>1380078.4137134543</v>
      </c>
      <c r="I141" s="236">
        <f t="shared" si="19"/>
        <v>981939319.46561086</v>
      </c>
    </row>
    <row r="142" spans="2:9" x14ac:dyDescent="0.3">
      <c r="B142" s="233">
        <f t="shared" si="20"/>
        <v>116</v>
      </c>
      <c r="C142" s="234">
        <f t="shared" si="21"/>
        <v>10</v>
      </c>
      <c r="D142" s="235">
        <f t="shared" si="14"/>
        <v>981939319.46561086</v>
      </c>
      <c r="E142" s="235">
        <f t="shared" si="15"/>
        <v>7116108.2346761795</v>
      </c>
      <c r="F142" s="235">
        <f t="shared" si="16"/>
        <v>0</v>
      </c>
      <c r="G142" s="235">
        <f t="shared" si="17"/>
        <v>5727979.3635493973</v>
      </c>
      <c r="H142" s="235">
        <f t="shared" si="18"/>
        <v>1388128.8711267821</v>
      </c>
      <c r="I142" s="236">
        <f t="shared" si="19"/>
        <v>980551190.59448409</v>
      </c>
    </row>
    <row r="143" spans="2:9" x14ac:dyDescent="0.3">
      <c r="B143" s="233">
        <f t="shared" si="20"/>
        <v>117</v>
      </c>
      <c r="C143" s="234">
        <f t="shared" si="21"/>
        <v>10</v>
      </c>
      <c r="D143" s="235">
        <f t="shared" si="14"/>
        <v>980551190.59448409</v>
      </c>
      <c r="E143" s="235">
        <f t="shared" si="15"/>
        <v>7116108.2346761795</v>
      </c>
      <c r="F143" s="235">
        <f t="shared" si="16"/>
        <v>0</v>
      </c>
      <c r="G143" s="235">
        <f t="shared" si="17"/>
        <v>5719881.9451344907</v>
      </c>
      <c r="H143" s="235">
        <f t="shared" si="18"/>
        <v>1396226.2895416887</v>
      </c>
      <c r="I143" s="236">
        <f t="shared" si="19"/>
        <v>979154964.30494237</v>
      </c>
    </row>
    <row r="144" spans="2:9" x14ac:dyDescent="0.3">
      <c r="B144" s="233">
        <f t="shared" si="20"/>
        <v>118</v>
      </c>
      <c r="C144" s="234">
        <f t="shared" si="21"/>
        <v>10</v>
      </c>
      <c r="D144" s="235">
        <f t="shared" si="14"/>
        <v>979154964.30494237</v>
      </c>
      <c r="E144" s="235">
        <f t="shared" si="15"/>
        <v>7116108.2346761795</v>
      </c>
      <c r="F144" s="235">
        <f t="shared" si="16"/>
        <v>0</v>
      </c>
      <c r="G144" s="235">
        <f t="shared" si="17"/>
        <v>5711737.2917788308</v>
      </c>
      <c r="H144" s="235">
        <f t="shared" si="18"/>
        <v>1404370.9428973487</v>
      </c>
      <c r="I144" s="236">
        <f t="shared" si="19"/>
        <v>977750593.36204505</v>
      </c>
    </row>
    <row r="145" spans="2:9" x14ac:dyDescent="0.3">
      <c r="B145" s="233">
        <f t="shared" si="20"/>
        <v>119</v>
      </c>
      <c r="C145" s="234">
        <f t="shared" si="21"/>
        <v>10</v>
      </c>
      <c r="D145" s="235">
        <f t="shared" si="14"/>
        <v>977750593.36204505</v>
      </c>
      <c r="E145" s="235">
        <f t="shared" si="15"/>
        <v>7116108.2346761795</v>
      </c>
      <c r="F145" s="235">
        <f t="shared" si="16"/>
        <v>0</v>
      </c>
      <c r="G145" s="235">
        <f t="shared" si="17"/>
        <v>5703545.1279452629</v>
      </c>
      <c r="H145" s="235">
        <f t="shared" si="18"/>
        <v>1412563.1067309165</v>
      </c>
      <c r="I145" s="236">
        <f t="shared" si="19"/>
        <v>976338030.25531411</v>
      </c>
    </row>
    <row r="146" spans="2:9" x14ac:dyDescent="0.3">
      <c r="B146" s="233">
        <f t="shared" si="20"/>
        <v>120</v>
      </c>
      <c r="C146" s="234">
        <f t="shared" si="21"/>
        <v>10</v>
      </c>
      <c r="D146" s="235">
        <f t="shared" si="14"/>
        <v>976338030.25531411</v>
      </c>
      <c r="E146" s="235">
        <f t="shared" si="15"/>
        <v>7116108.2346761795</v>
      </c>
      <c r="F146" s="235">
        <f t="shared" si="16"/>
        <v>974917227.19712722</v>
      </c>
      <c r="G146" s="235">
        <f t="shared" si="17"/>
        <v>5695305.1764893327</v>
      </c>
      <c r="H146" s="235">
        <f t="shared" si="18"/>
        <v>1420803.0581868468</v>
      </c>
      <c r="I146" s="236">
        <f t="shared" si="19"/>
        <v>0</v>
      </c>
    </row>
    <row r="147" spans="2:9" x14ac:dyDescent="0.3">
      <c r="B147" s="233">
        <f t="shared" si="20"/>
        <v>121</v>
      </c>
      <c r="C147" s="234">
        <f t="shared" si="21"/>
        <v>11</v>
      </c>
      <c r="D147" s="235">
        <f t="shared" si="14"/>
        <v>0</v>
      </c>
      <c r="E147" s="235">
        <f t="shared" si="15"/>
        <v>0</v>
      </c>
      <c r="F147" s="235">
        <f t="shared" si="16"/>
        <v>0</v>
      </c>
      <c r="G147" s="235">
        <f t="shared" si="17"/>
        <v>0</v>
      </c>
      <c r="H147" s="235">
        <f t="shared" si="18"/>
        <v>0</v>
      </c>
      <c r="I147" s="236">
        <f t="shared" si="19"/>
        <v>0</v>
      </c>
    </row>
    <row r="148" spans="2:9" x14ac:dyDescent="0.3">
      <c r="B148" s="233">
        <f t="shared" si="20"/>
        <v>122</v>
      </c>
      <c r="C148" s="234">
        <f t="shared" si="21"/>
        <v>11</v>
      </c>
      <c r="D148" s="235">
        <f t="shared" si="14"/>
        <v>0</v>
      </c>
      <c r="E148" s="235">
        <f t="shared" si="15"/>
        <v>0</v>
      </c>
      <c r="F148" s="235">
        <f t="shared" si="16"/>
        <v>0</v>
      </c>
      <c r="G148" s="235">
        <f t="shared" si="17"/>
        <v>0</v>
      </c>
      <c r="H148" s="235">
        <f t="shared" si="18"/>
        <v>0</v>
      </c>
      <c r="I148" s="236">
        <f t="shared" si="19"/>
        <v>0</v>
      </c>
    </row>
    <row r="149" spans="2:9" x14ac:dyDescent="0.3">
      <c r="B149" s="233">
        <f t="shared" si="20"/>
        <v>123</v>
      </c>
      <c r="C149" s="234">
        <f t="shared" si="21"/>
        <v>11</v>
      </c>
      <c r="D149" s="235">
        <f t="shared" si="14"/>
        <v>0</v>
      </c>
      <c r="E149" s="235">
        <f t="shared" si="15"/>
        <v>0</v>
      </c>
      <c r="F149" s="235">
        <f t="shared" si="16"/>
        <v>0</v>
      </c>
      <c r="G149" s="235">
        <f t="shared" si="17"/>
        <v>0</v>
      </c>
      <c r="H149" s="235">
        <f t="shared" si="18"/>
        <v>0</v>
      </c>
      <c r="I149" s="236">
        <f t="shared" si="19"/>
        <v>0</v>
      </c>
    </row>
    <row r="150" spans="2:9" x14ac:dyDescent="0.3">
      <c r="B150" s="233">
        <f t="shared" si="20"/>
        <v>124</v>
      </c>
      <c r="C150" s="234">
        <f t="shared" si="21"/>
        <v>11</v>
      </c>
      <c r="D150" s="235">
        <f t="shared" si="14"/>
        <v>0</v>
      </c>
      <c r="E150" s="235">
        <f t="shared" si="15"/>
        <v>0</v>
      </c>
      <c r="F150" s="235">
        <f t="shared" si="16"/>
        <v>0</v>
      </c>
      <c r="G150" s="235">
        <f t="shared" si="17"/>
        <v>0</v>
      </c>
      <c r="H150" s="235">
        <f t="shared" si="18"/>
        <v>0</v>
      </c>
      <c r="I150" s="236">
        <f t="shared" si="19"/>
        <v>0</v>
      </c>
    </row>
    <row r="151" spans="2:9" x14ac:dyDescent="0.3">
      <c r="B151" s="233">
        <f t="shared" si="20"/>
        <v>125</v>
      </c>
      <c r="C151" s="234">
        <f t="shared" si="21"/>
        <v>11</v>
      </c>
      <c r="D151" s="235">
        <f t="shared" si="14"/>
        <v>0</v>
      </c>
      <c r="E151" s="235">
        <f t="shared" si="15"/>
        <v>0</v>
      </c>
      <c r="F151" s="235">
        <f t="shared" si="16"/>
        <v>0</v>
      </c>
      <c r="G151" s="235">
        <f t="shared" si="17"/>
        <v>0</v>
      </c>
      <c r="H151" s="235">
        <f t="shared" si="18"/>
        <v>0</v>
      </c>
      <c r="I151" s="236">
        <f t="shared" si="19"/>
        <v>0</v>
      </c>
    </row>
    <row r="152" spans="2:9" x14ac:dyDescent="0.3">
      <c r="B152" s="233">
        <f t="shared" si="20"/>
        <v>126</v>
      </c>
      <c r="C152" s="234">
        <f t="shared" si="21"/>
        <v>11</v>
      </c>
      <c r="D152" s="235">
        <f t="shared" si="14"/>
        <v>0</v>
      </c>
      <c r="E152" s="235">
        <f t="shared" si="15"/>
        <v>0</v>
      </c>
      <c r="F152" s="235">
        <f t="shared" si="16"/>
        <v>0</v>
      </c>
      <c r="G152" s="235">
        <f t="shared" si="17"/>
        <v>0</v>
      </c>
      <c r="H152" s="235">
        <f t="shared" si="18"/>
        <v>0</v>
      </c>
      <c r="I152" s="236">
        <f t="shared" si="19"/>
        <v>0</v>
      </c>
    </row>
    <row r="153" spans="2:9" x14ac:dyDescent="0.3">
      <c r="B153" s="233">
        <f t="shared" si="20"/>
        <v>127</v>
      </c>
      <c r="C153" s="234">
        <f t="shared" si="21"/>
        <v>11</v>
      </c>
      <c r="D153" s="235">
        <f t="shared" si="14"/>
        <v>0</v>
      </c>
      <c r="E153" s="235">
        <f t="shared" si="15"/>
        <v>0</v>
      </c>
      <c r="F153" s="235">
        <f t="shared" si="16"/>
        <v>0</v>
      </c>
      <c r="G153" s="235">
        <f t="shared" si="17"/>
        <v>0</v>
      </c>
      <c r="H153" s="235">
        <f t="shared" si="18"/>
        <v>0</v>
      </c>
      <c r="I153" s="236">
        <f t="shared" si="19"/>
        <v>0</v>
      </c>
    </row>
    <row r="154" spans="2:9" x14ac:dyDescent="0.3">
      <c r="B154" s="233">
        <f t="shared" si="20"/>
        <v>128</v>
      </c>
      <c r="C154" s="234">
        <f t="shared" si="21"/>
        <v>11</v>
      </c>
      <c r="D154" s="235">
        <f t="shared" si="14"/>
        <v>0</v>
      </c>
      <c r="E154" s="235">
        <f t="shared" si="15"/>
        <v>0</v>
      </c>
      <c r="F154" s="235">
        <f t="shared" si="16"/>
        <v>0</v>
      </c>
      <c r="G154" s="235">
        <f t="shared" si="17"/>
        <v>0</v>
      </c>
      <c r="H154" s="235">
        <f t="shared" si="18"/>
        <v>0</v>
      </c>
      <c r="I154" s="236">
        <f t="shared" si="19"/>
        <v>0</v>
      </c>
    </row>
    <row r="155" spans="2:9" x14ac:dyDescent="0.3">
      <c r="B155" s="233">
        <f t="shared" si="20"/>
        <v>129</v>
      </c>
      <c r="C155" s="234">
        <f t="shared" si="21"/>
        <v>11</v>
      </c>
      <c r="D155" s="235">
        <f t="shared" si="14"/>
        <v>0</v>
      </c>
      <c r="E155" s="235">
        <f t="shared" si="15"/>
        <v>0</v>
      </c>
      <c r="F155" s="235">
        <f t="shared" si="16"/>
        <v>0</v>
      </c>
      <c r="G155" s="235">
        <f t="shared" si="17"/>
        <v>0</v>
      </c>
      <c r="H155" s="235">
        <f t="shared" si="18"/>
        <v>0</v>
      </c>
      <c r="I155" s="236">
        <f t="shared" si="19"/>
        <v>0</v>
      </c>
    </row>
    <row r="156" spans="2:9" x14ac:dyDescent="0.3">
      <c r="B156" s="233">
        <f t="shared" si="20"/>
        <v>130</v>
      </c>
      <c r="C156" s="234">
        <f t="shared" si="21"/>
        <v>11</v>
      </c>
      <c r="D156" s="235">
        <f t="shared" ref="D156:D219" si="22">I155</f>
        <v>0</v>
      </c>
      <c r="E156" s="235">
        <f t="shared" ref="E156:E219" si="23">IF(B156&gt;($D$5*12),0,IF(B156&lt;$D$6*12+1,D156*($D$4/12),$D$8))</f>
        <v>0</v>
      </c>
      <c r="F156" s="235">
        <f t="shared" ref="F156:F219" si="24">IF(B156=($D$5*12),D156-H156,0)</f>
        <v>0</v>
      </c>
      <c r="G156" s="235">
        <f t="shared" ref="G156:G219" si="25">$D$4/12*D156</f>
        <v>0</v>
      </c>
      <c r="H156" s="235">
        <f t="shared" ref="H156:H219" si="26">IF(B156&lt;($D$6*12+1),0,E156-G156)</f>
        <v>0</v>
      </c>
      <c r="I156" s="236">
        <f t="shared" ref="I156:I219" si="27">D156-H156-F156</f>
        <v>0</v>
      </c>
    </row>
    <row r="157" spans="2:9" x14ac:dyDescent="0.3">
      <c r="B157" s="233">
        <f t="shared" ref="B157:B220" si="28">B156+1</f>
        <v>131</v>
      </c>
      <c r="C157" s="234">
        <f t="shared" si="21"/>
        <v>11</v>
      </c>
      <c r="D157" s="235">
        <f t="shared" si="22"/>
        <v>0</v>
      </c>
      <c r="E157" s="235">
        <f t="shared" si="23"/>
        <v>0</v>
      </c>
      <c r="F157" s="235">
        <f t="shared" si="24"/>
        <v>0</v>
      </c>
      <c r="G157" s="235">
        <f t="shared" si="25"/>
        <v>0</v>
      </c>
      <c r="H157" s="235">
        <f t="shared" si="26"/>
        <v>0</v>
      </c>
      <c r="I157" s="236">
        <f t="shared" si="27"/>
        <v>0</v>
      </c>
    </row>
    <row r="158" spans="2:9" x14ac:dyDescent="0.3">
      <c r="B158" s="233">
        <f t="shared" si="28"/>
        <v>132</v>
      </c>
      <c r="C158" s="234">
        <f t="shared" si="21"/>
        <v>11</v>
      </c>
      <c r="D158" s="235">
        <f t="shared" si="22"/>
        <v>0</v>
      </c>
      <c r="E158" s="235">
        <f t="shared" si="23"/>
        <v>0</v>
      </c>
      <c r="F158" s="235">
        <f t="shared" si="24"/>
        <v>0</v>
      </c>
      <c r="G158" s="235">
        <f t="shared" si="25"/>
        <v>0</v>
      </c>
      <c r="H158" s="235">
        <f t="shared" si="26"/>
        <v>0</v>
      </c>
      <c r="I158" s="236">
        <f t="shared" si="27"/>
        <v>0</v>
      </c>
    </row>
    <row r="159" spans="2:9" x14ac:dyDescent="0.3">
      <c r="B159" s="233">
        <f t="shared" si="28"/>
        <v>133</v>
      </c>
      <c r="C159" s="234">
        <f t="shared" si="21"/>
        <v>12</v>
      </c>
      <c r="D159" s="235">
        <f t="shared" si="22"/>
        <v>0</v>
      </c>
      <c r="E159" s="235">
        <f t="shared" si="23"/>
        <v>0</v>
      </c>
      <c r="F159" s="235">
        <f t="shared" si="24"/>
        <v>0</v>
      </c>
      <c r="G159" s="235">
        <f t="shared" si="25"/>
        <v>0</v>
      </c>
      <c r="H159" s="235">
        <f t="shared" si="26"/>
        <v>0</v>
      </c>
      <c r="I159" s="236">
        <f t="shared" si="27"/>
        <v>0</v>
      </c>
    </row>
    <row r="160" spans="2:9" x14ac:dyDescent="0.3">
      <c r="B160" s="233">
        <f t="shared" si="28"/>
        <v>134</v>
      </c>
      <c r="C160" s="234">
        <f t="shared" si="21"/>
        <v>12</v>
      </c>
      <c r="D160" s="235">
        <f t="shared" si="22"/>
        <v>0</v>
      </c>
      <c r="E160" s="235">
        <f t="shared" si="23"/>
        <v>0</v>
      </c>
      <c r="F160" s="235">
        <f t="shared" si="24"/>
        <v>0</v>
      </c>
      <c r="G160" s="235">
        <f t="shared" si="25"/>
        <v>0</v>
      </c>
      <c r="H160" s="235">
        <f t="shared" si="26"/>
        <v>0</v>
      </c>
      <c r="I160" s="236">
        <f t="shared" si="27"/>
        <v>0</v>
      </c>
    </row>
    <row r="161" spans="2:9" x14ac:dyDescent="0.3">
      <c r="B161" s="233">
        <f t="shared" si="28"/>
        <v>135</v>
      </c>
      <c r="C161" s="234">
        <f t="shared" si="21"/>
        <v>12</v>
      </c>
      <c r="D161" s="235">
        <f t="shared" si="22"/>
        <v>0</v>
      </c>
      <c r="E161" s="235">
        <f t="shared" si="23"/>
        <v>0</v>
      </c>
      <c r="F161" s="235">
        <f t="shared" si="24"/>
        <v>0</v>
      </c>
      <c r="G161" s="235">
        <f t="shared" si="25"/>
        <v>0</v>
      </c>
      <c r="H161" s="235">
        <f t="shared" si="26"/>
        <v>0</v>
      </c>
      <c r="I161" s="236">
        <f t="shared" si="27"/>
        <v>0</v>
      </c>
    </row>
    <row r="162" spans="2:9" x14ac:dyDescent="0.3">
      <c r="B162" s="233">
        <f t="shared" si="28"/>
        <v>136</v>
      </c>
      <c r="C162" s="234">
        <f t="shared" si="21"/>
        <v>12</v>
      </c>
      <c r="D162" s="235">
        <f t="shared" si="22"/>
        <v>0</v>
      </c>
      <c r="E162" s="235">
        <f t="shared" si="23"/>
        <v>0</v>
      </c>
      <c r="F162" s="235">
        <f t="shared" si="24"/>
        <v>0</v>
      </c>
      <c r="G162" s="235">
        <f t="shared" si="25"/>
        <v>0</v>
      </c>
      <c r="H162" s="235">
        <f t="shared" si="26"/>
        <v>0</v>
      </c>
      <c r="I162" s="236">
        <f t="shared" si="27"/>
        <v>0</v>
      </c>
    </row>
    <row r="163" spans="2:9" x14ac:dyDescent="0.3">
      <c r="B163" s="233">
        <f t="shared" si="28"/>
        <v>137</v>
      </c>
      <c r="C163" s="234">
        <f t="shared" si="21"/>
        <v>12</v>
      </c>
      <c r="D163" s="235">
        <f t="shared" si="22"/>
        <v>0</v>
      </c>
      <c r="E163" s="235">
        <f t="shared" si="23"/>
        <v>0</v>
      </c>
      <c r="F163" s="235">
        <f t="shared" si="24"/>
        <v>0</v>
      </c>
      <c r="G163" s="235">
        <f t="shared" si="25"/>
        <v>0</v>
      </c>
      <c r="H163" s="235">
        <f t="shared" si="26"/>
        <v>0</v>
      </c>
      <c r="I163" s="236">
        <f t="shared" si="27"/>
        <v>0</v>
      </c>
    </row>
    <row r="164" spans="2:9" x14ac:dyDescent="0.3">
      <c r="B164" s="233">
        <f t="shared" si="28"/>
        <v>138</v>
      </c>
      <c r="C164" s="234">
        <f t="shared" si="21"/>
        <v>12</v>
      </c>
      <c r="D164" s="235">
        <f t="shared" si="22"/>
        <v>0</v>
      </c>
      <c r="E164" s="235">
        <f t="shared" si="23"/>
        <v>0</v>
      </c>
      <c r="F164" s="235">
        <f t="shared" si="24"/>
        <v>0</v>
      </c>
      <c r="G164" s="235">
        <f t="shared" si="25"/>
        <v>0</v>
      </c>
      <c r="H164" s="235">
        <f t="shared" si="26"/>
        <v>0</v>
      </c>
      <c r="I164" s="236">
        <f t="shared" si="27"/>
        <v>0</v>
      </c>
    </row>
    <row r="165" spans="2:9" x14ac:dyDescent="0.3">
      <c r="B165" s="233">
        <f t="shared" si="28"/>
        <v>139</v>
      </c>
      <c r="C165" s="234">
        <f t="shared" si="21"/>
        <v>12</v>
      </c>
      <c r="D165" s="235">
        <f t="shared" si="22"/>
        <v>0</v>
      </c>
      <c r="E165" s="235">
        <f t="shared" si="23"/>
        <v>0</v>
      </c>
      <c r="F165" s="235">
        <f t="shared" si="24"/>
        <v>0</v>
      </c>
      <c r="G165" s="235">
        <f t="shared" si="25"/>
        <v>0</v>
      </c>
      <c r="H165" s="235">
        <f t="shared" si="26"/>
        <v>0</v>
      </c>
      <c r="I165" s="236">
        <f t="shared" si="27"/>
        <v>0</v>
      </c>
    </row>
    <row r="166" spans="2:9" x14ac:dyDescent="0.3">
      <c r="B166" s="233">
        <f t="shared" si="28"/>
        <v>140</v>
      </c>
      <c r="C166" s="234">
        <f t="shared" si="21"/>
        <v>12</v>
      </c>
      <c r="D166" s="235">
        <f t="shared" si="22"/>
        <v>0</v>
      </c>
      <c r="E166" s="235">
        <f t="shared" si="23"/>
        <v>0</v>
      </c>
      <c r="F166" s="235">
        <f t="shared" si="24"/>
        <v>0</v>
      </c>
      <c r="G166" s="235">
        <f t="shared" si="25"/>
        <v>0</v>
      </c>
      <c r="H166" s="235">
        <f t="shared" si="26"/>
        <v>0</v>
      </c>
      <c r="I166" s="236">
        <f t="shared" si="27"/>
        <v>0</v>
      </c>
    </row>
    <row r="167" spans="2:9" x14ac:dyDescent="0.3">
      <c r="B167" s="233">
        <f t="shared" si="28"/>
        <v>141</v>
      </c>
      <c r="C167" s="234">
        <f t="shared" si="21"/>
        <v>12</v>
      </c>
      <c r="D167" s="235">
        <f t="shared" si="22"/>
        <v>0</v>
      </c>
      <c r="E167" s="235">
        <f t="shared" si="23"/>
        <v>0</v>
      </c>
      <c r="F167" s="235">
        <f t="shared" si="24"/>
        <v>0</v>
      </c>
      <c r="G167" s="235">
        <f t="shared" si="25"/>
        <v>0</v>
      </c>
      <c r="H167" s="235">
        <f t="shared" si="26"/>
        <v>0</v>
      </c>
      <c r="I167" s="236">
        <f t="shared" si="27"/>
        <v>0</v>
      </c>
    </row>
    <row r="168" spans="2:9" x14ac:dyDescent="0.3">
      <c r="B168" s="233">
        <f t="shared" si="28"/>
        <v>142</v>
      </c>
      <c r="C168" s="234">
        <f t="shared" ref="C168:C231" si="29">C156+1</f>
        <v>12</v>
      </c>
      <c r="D168" s="235">
        <f t="shared" si="22"/>
        <v>0</v>
      </c>
      <c r="E168" s="235">
        <f t="shared" si="23"/>
        <v>0</v>
      </c>
      <c r="F168" s="235">
        <f t="shared" si="24"/>
        <v>0</v>
      </c>
      <c r="G168" s="235">
        <f t="shared" si="25"/>
        <v>0</v>
      </c>
      <c r="H168" s="235">
        <f t="shared" si="26"/>
        <v>0</v>
      </c>
      <c r="I168" s="236">
        <f t="shared" si="27"/>
        <v>0</v>
      </c>
    </row>
    <row r="169" spans="2:9" x14ac:dyDescent="0.3">
      <c r="B169" s="233">
        <f t="shared" si="28"/>
        <v>143</v>
      </c>
      <c r="C169" s="234">
        <f t="shared" si="29"/>
        <v>12</v>
      </c>
      <c r="D169" s="235">
        <f t="shared" si="22"/>
        <v>0</v>
      </c>
      <c r="E169" s="235">
        <f t="shared" si="23"/>
        <v>0</v>
      </c>
      <c r="F169" s="235">
        <f t="shared" si="24"/>
        <v>0</v>
      </c>
      <c r="G169" s="235">
        <f t="shared" si="25"/>
        <v>0</v>
      </c>
      <c r="H169" s="235">
        <f t="shared" si="26"/>
        <v>0</v>
      </c>
      <c r="I169" s="236">
        <f t="shared" si="27"/>
        <v>0</v>
      </c>
    </row>
    <row r="170" spans="2:9" x14ac:dyDescent="0.3">
      <c r="B170" s="233">
        <f t="shared" si="28"/>
        <v>144</v>
      </c>
      <c r="C170" s="234">
        <f t="shared" si="29"/>
        <v>12</v>
      </c>
      <c r="D170" s="235">
        <f t="shared" si="22"/>
        <v>0</v>
      </c>
      <c r="E170" s="235">
        <f t="shared" si="23"/>
        <v>0</v>
      </c>
      <c r="F170" s="235">
        <f t="shared" si="24"/>
        <v>0</v>
      </c>
      <c r="G170" s="235">
        <f t="shared" si="25"/>
        <v>0</v>
      </c>
      <c r="H170" s="235">
        <f t="shared" si="26"/>
        <v>0</v>
      </c>
      <c r="I170" s="236">
        <f t="shared" si="27"/>
        <v>0</v>
      </c>
    </row>
    <row r="171" spans="2:9" x14ac:dyDescent="0.3">
      <c r="B171" s="233">
        <f t="shared" si="28"/>
        <v>145</v>
      </c>
      <c r="C171" s="234">
        <f t="shared" si="29"/>
        <v>13</v>
      </c>
      <c r="D171" s="235">
        <f t="shared" si="22"/>
        <v>0</v>
      </c>
      <c r="E171" s="235">
        <f t="shared" si="23"/>
        <v>0</v>
      </c>
      <c r="F171" s="235">
        <f t="shared" si="24"/>
        <v>0</v>
      </c>
      <c r="G171" s="235">
        <f t="shared" si="25"/>
        <v>0</v>
      </c>
      <c r="H171" s="235">
        <f t="shared" si="26"/>
        <v>0</v>
      </c>
      <c r="I171" s="236">
        <f t="shared" si="27"/>
        <v>0</v>
      </c>
    </row>
    <row r="172" spans="2:9" x14ac:dyDescent="0.3">
      <c r="B172" s="233">
        <f t="shared" si="28"/>
        <v>146</v>
      </c>
      <c r="C172" s="234">
        <f t="shared" si="29"/>
        <v>13</v>
      </c>
      <c r="D172" s="235">
        <f t="shared" si="22"/>
        <v>0</v>
      </c>
      <c r="E172" s="235">
        <f t="shared" si="23"/>
        <v>0</v>
      </c>
      <c r="F172" s="235">
        <f t="shared" si="24"/>
        <v>0</v>
      </c>
      <c r="G172" s="235">
        <f t="shared" si="25"/>
        <v>0</v>
      </c>
      <c r="H172" s="235">
        <f t="shared" si="26"/>
        <v>0</v>
      </c>
      <c r="I172" s="236">
        <f t="shared" si="27"/>
        <v>0</v>
      </c>
    </row>
    <row r="173" spans="2:9" x14ac:dyDescent="0.3">
      <c r="B173" s="233">
        <f t="shared" si="28"/>
        <v>147</v>
      </c>
      <c r="C173" s="234">
        <f t="shared" si="29"/>
        <v>13</v>
      </c>
      <c r="D173" s="235">
        <f t="shared" si="22"/>
        <v>0</v>
      </c>
      <c r="E173" s="235">
        <f t="shared" si="23"/>
        <v>0</v>
      </c>
      <c r="F173" s="235">
        <f t="shared" si="24"/>
        <v>0</v>
      </c>
      <c r="G173" s="235">
        <f t="shared" si="25"/>
        <v>0</v>
      </c>
      <c r="H173" s="235">
        <f t="shared" si="26"/>
        <v>0</v>
      </c>
      <c r="I173" s="236">
        <f t="shared" si="27"/>
        <v>0</v>
      </c>
    </row>
    <row r="174" spans="2:9" x14ac:dyDescent="0.3">
      <c r="B174" s="233">
        <f t="shared" si="28"/>
        <v>148</v>
      </c>
      <c r="C174" s="234">
        <f t="shared" si="29"/>
        <v>13</v>
      </c>
      <c r="D174" s="235">
        <f t="shared" si="22"/>
        <v>0</v>
      </c>
      <c r="E174" s="235">
        <f t="shared" si="23"/>
        <v>0</v>
      </c>
      <c r="F174" s="235">
        <f t="shared" si="24"/>
        <v>0</v>
      </c>
      <c r="G174" s="235">
        <f t="shared" si="25"/>
        <v>0</v>
      </c>
      <c r="H174" s="235">
        <f t="shared" si="26"/>
        <v>0</v>
      </c>
      <c r="I174" s="236">
        <f t="shared" si="27"/>
        <v>0</v>
      </c>
    </row>
    <row r="175" spans="2:9" x14ac:dyDescent="0.3">
      <c r="B175" s="233">
        <f t="shared" si="28"/>
        <v>149</v>
      </c>
      <c r="C175" s="234">
        <f t="shared" si="29"/>
        <v>13</v>
      </c>
      <c r="D175" s="235">
        <f t="shared" si="22"/>
        <v>0</v>
      </c>
      <c r="E175" s="235">
        <f t="shared" si="23"/>
        <v>0</v>
      </c>
      <c r="F175" s="235">
        <f t="shared" si="24"/>
        <v>0</v>
      </c>
      <c r="G175" s="235">
        <f t="shared" si="25"/>
        <v>0</v>
      </c>
      <c r="H175" s="235">
        <f t="shared" si="26"/>
        <v>0</v>
      </c>
      <c r="I175" s="236">
        <f t="shared" si="27"/>
        <v>0</v>
      </c>
    </row>
    <row r="176" spans="2:9" x14ac:dyDescent="0.3">
      <c r="B176" s="233">
        <f t="shared" si="28"/>
        <v>150</v>
      </c>
      <c r="C176" s="234">
        <f t="shared" si="29"/>
        <v>13</v>
      </c>
      <c r="D176" s="235">
        <f t="shared" si="22"/>
        <v>0</v>
      </c>
      <c r="E176" s="235">
        <f t="shared" si="23"/>
        <v>0</v>
      </c>
      <c r="F176" s="235">
        <f t="shared" si="24"/>
        <v>0</v>
      </c>
      <c r="G176" s="235">
        <f t="shared" si="25"/>
        <v>0</v>
      </c>
      <c r="H176" s="235">
        <f t="shared" si="26"/>
        <v>0</v>
      </c>
      <c r="I176" s="236">
        <f t="shared" si="27"/>
        <v>0</v>
      </c>
    </row>
    <row r="177" spans="2:9" x14ac:dyDescent="0.3">
      <c r="B177" s="233">
        <f t="shared" si="28"/>
        <v>151</v>
      </c>
      <c r="C177" s="234">
        <f t="shared" si="29"/>
        <v>13</v>
      </c>
      <c r="D177" s="235">
        <f t="shared" si="22"/>
        <v>0</v>
      </c>
      <c r="E177" s="235">
        <f t="shared" si="23"/>
        <v>0</v>
      </c>
      <c r="F177" s="235">
        <f t="shared" si="24"/>
        <v>0</v>
      </c>
      <c r="G177" s="235">
        <f t="shared" si="25"/>
        <v>0</v>
      </c>
      <c r="H177" s="235">
        <f t="shared" si="26"/>
        <v>0</v>
      </c>
      <c r="I177" s="236">
        <f t="shared" si="27"/>
        <v>0</v>
      </c>
    </row>
    <row r="178" spans="2:9" x14ac:dyDescent="0.3">
      <c r="B178" s="233">
        <f t="shared" si="28"/>
        <v>152</v>
      </c>
      <c r="C178" s="234">
        <f t="shared" si="29"/>
        <v>13</v>
      </c>
      <c r="D178" s="235">
        <f t="shared" si="22"/>
        <v>0</v>
      </c>
      <c r="E178" s="235">
        <f t="shared" si="23"/>
        <v>0</v>
      </c>
      <c r="F178" s="235">
        <f t="shared" si="24"/>
        <v>0</v>
      </c>
      <c r="G178" s="235">
        <f t="shared" si="25"/>
        <v>0</v>
      </c>
      <c r="H178" s="235">
        <f t="shared" si="26"/>
        <v>0</v>
      </c>
      <c r="I178" s="236">
        <f t="shared" si="27"/>
        <v>0</v>
      </c>
    </row>
    <row r="179" spans="2:9" x14ac:dyDescent="0.3">
      <c r="B179" s="233">
        <f t="shared" si="28"/>
        <v>153</v>
      </c>
      <c r="C179" s="234">
        <f t="shared" si="29"/>
        <v>13</v>
      </c>
      <c r="D179" s="235">
        <f t="shared" si="22"/>
        <v>0</v>
      </c>
      <c r="E179" s="235">
        <f t="shared" si="23"/>
        <v>0</v>
      </c>
      <c r="F179" s="235">
        <f t="shared" si="24"/>
        <v>0</v>
      </c>
      <c r="G179" s="235">
        <f t="shared" si="25"/>
        <v>0</v>
      </c>
      <c r="H179" s="235">
        <f t="shared" si="26"/>
        <v>0</v>
      </c>
      <c r="I179" s="236">
        <f t="shared" si="27"/>
        <v>0</v>
      </c>
    </row>
    <row r="180" spans="2:9" x14ac:dyDescent="0.3">
      <c r="B180" s="233">
        <f t="shared" si="28"/>
        <v>154</v>
      </c>
      <c r="C180" s="234">
        <f t="shared" si="29"/>
        <v>13</v>
      </c>
      <c r="D180" s="235">
        <f t="shared" si="22"/>
        <v>0</v>
      </c>
      <c r="E180" s="235">
        <f t="shared" si="23"/>
        <v>0</v>
      </c>
      <c r="F180" s="235">
        <f t="shared" si="24"/>
        <v>0</v>
      </c>
      <c r="G180" s="235">
        <f t="shared" si="25"/>
        <v>0</v>
      </c>
      <c r="H180" s="235">
        <f t="shared" si="26"/>
        <v>0</v>
      </c>
      <c r="I180" s="236">
        <f t="shared" si="27"/>
        <v>0</v>
      </c>
    </row>
    <row r="181" spans="2:9" x14ac:dyDescent="0.3">
      <c r="B181" s="233">
        <f t="shared" si="28"/>
        <v>155</v>
      </c>
      <c r="C181" s="234">
        <f t="shared" si="29"/>
        <v>13</v>
      </c>
      <c r="D181" s="235">
        <f t="shared" si="22"/>
        <v>0</v>
      </c>
      <c r="E181" s="235">
        <f t="shared" si="23"/>
        <v>0</v>
      </c>
      <c r="F181" s="235">
        <f t="shared" si="24"/>
        <v>0</v>
      </c>
      <c r="G181" s="235">
        <f t="shared" si="25"/>
        <v>0</v>
      </c>
      <c r="H181" s="235">
        <f t="shared" si="26"/>
        <v>0</v>
      </c>
      <c r="I181" s="236">
        <f t="shared" si="27"/>
        <v>0</v>
      </c>
    </row>
    <row r="182" spans="2:9" x14ac:dyDescent="0.3">
      <c r="B182" s="233">
        <f t="shared" si="28"/>
        <v>156</v>
      </c>
      <c r="C182" s="234">
        <f t="shared" si="29"/>
        <v>13</v>
      </c>
      <c r="D182" s="235">
        <f t="shared" si="22"/>
        <v>0</v>
      </c>
      <c r="E182" s="235">
        <f t="shared" si="23"/>
        <v>0</v>
      </c>
      <c r="F182" s="235">
        <f t="shared" si="24"/>
        <v>0</v>
      </c>
      <c r="G182" s="235">
        <f t="shared" si="25"/>
        <v>0</v>
      </c>
      <c r="H182" s="235">
        <f t="shared" si="26"/>
        <v>0</v>
      </c>
      <c r="I182" s="236">
        <f t="shared" si="27"/>
        <v>0</v>
      </c>
    </row>
    <row r="183" spans="2:9" x14ac:dyDescent="0.3">
      <c r="B183" s="233">
        <f t="shared" si="28"/>
        <v>157</v>
      </c>
      <c r="C183" s="234">
        <f t="shared" si="29"/>
        <v>14</v>
      </c>
      <c r="D183" s="235">
        <f t="shared" si="22"/>
        <v>0</v>
      </c>
      <c r="E183" s="235">
        <f t="shared" si="23"/>
        <v>0</v>
      </c>
      <c r="F183" s="235">
        <f t="shared" si="24"/>
        <v>0</v>
      </c>
      <c r="G183" s="235">
        <f t="shared" si="25"/>
        <v>0</v>
      </c>
      <c r="H183" s="235">
        <f t="shared" si="26"/>
        <v>0</v>
      </c>
      <c r="I183" s="236">
        <f t="shared" si="27"/>
        <v>0</v>
      </c>
    </row>
    <row r="184" spans="2:9" x14ac:dyDescent="0.3">
      <c r="B184" s="233">
        <f t="shared" si="28"/>
        <v>158</v>
      </c>
      <c r="C184" s="234">
        <f t="shared" si="29"/>
        <v>14</v>
      </c>
      <c r="D184" s="235">
        <f t="shared" si="22"/>
        <v>0</v>
      </c>
      <c r="E184" s="235">
        <f t="shared" si="23"/>
        <v>0</v>
      </c>
      <c r="F184" s="235">
        <f t="shared" si="24"/>
        <v>0</v>
      </c>
      <c r="G184" s="235">
        <f t="shared" si="25"/>
        <v>0</v>
      </c>
      <c r="H184" s="235">
        <f t="shared" si="26"/>
        <v>0</v>
      </c>
      <c r="I184" s="236">
        <f t="shared" si="27"/>
        <v>0</v>
      </c>
    </row>
    <row r="185" spans="2:9" x14ac:dyDescent="0.3">
      <c r="B185" s="233">
        <f t="shared" si="28"/>
        <v>159</v>
      </c>
      <c r="C185" s="234">
        <f t="shared" si="29"/>
        <v>14</v>
      </c>
      <c r="D185" s="235">
        <f t="shared" si="22"/>
        <v>0</v>
      </c>
      <c r="E185" s="235">
        <f t="shared" si="23"/>
        <v>0</v>
      </c>
      <c r="F185" s="235">
        <f t="shared" si="24"/>
        <v>0</v>
      </c>
      <c r="G185" s="235">
        <f t="shared" si="25"/>
        <v>0</v>
      </c>
      <c r="H185" s="235">
        <f t="shared" si="26"/>
        <v>0</v>
      </c>
      <c r="I185" s="236">
        <f t="shared" si="27"/>
        <v>0</v>
      </c>
    </row>
    <row r="186" spans="2:9" x14ac:dyDescent="0.3">
      <c r="B186" s="233">
        <f t="shared" si="28"/>
        <v>160</v>
      </c>
      <c r="C186" s="234">
        <f t="shared" si="29"/>
        <v>14</v>
      </c>
      <c r="D186" s="235">
        <f t="shared" si="22"/>
        <v>0</v>
      </c>
      <c r="E186" s="235">
        <f t="shared" si="23"/>
        <v>0</v>
      </c>
      <c r="F186" s="235">
        <f t="shared" si="24"/>
        <v>0</v>
      </c>
      <c r="G186" s="235">
        <f t="shared" si="25"/>
        <v>0</v>
      </c>
      <c r="H186" s="235">
        <f t="shared" si="26"/>
        <v>0</v>
      </c>
      <c r="I186" s="236">
        <f t="shared" si="27"/>
        <v>0</v>
      </c>
    </row>
    <row r="187" spans="2:9" x14ac:dyDescent="0.3">
      <c r="B187" s="233">
        <f t="shared" si="28"/>
        <v>161</v>
      </c>
      <c r="C187" s="234">
        <f t="shared" si="29"/>
        <v>14</v>
      </c>
      <c r="D187" s="235">
        <f t="shared" si="22"/>
        <v>0</v>
      </c>
      <c r="E187" s="235">
        <f t="shared" si="23"/>
        <v>0</v>
      </c>
      <c r="F187" s="235">
        <f t="shared" si="24"/>
        <v>0</v>
      </c>
      <c r="G187" s="235">
        <f t="shared" si="25"/>
        <v>0</v>
      </c>
      <c r="H187" s="235">
        <f t="shared" si="26"/>
        <v>0</v>
      </c>
      <c r="I187" s="236">
        <f t="shared" si="27"/>
        <v>0</v>
      </c>
    </row>
    <row r="188" spans="2:9" x14ac:dyDescent="0.3">
      <c r="B188" s="233">
        <f t="shared" si="28"/>
        <v>162</v>
      </c>
      <c r="C188" s="234">
        <f t="shared" si="29"/>
        <v>14</v>
      </c>
      <c r="D188" s="235">
        <f t="shared" si="22"/>
        <v>0</v>
      </c>
      <c r="E188" s="235">
        <f t="shared" si="23"/>
        <v>0</v>
      </c>
      <c r="F188" s="235">
        <f t="shared" si="24"/>
        <v>0</v>
      </c>
      <c r="G188" s="235">
        <f t="shared" si="25"/>
        <v>0</v>
      </c>
      <c r="H188" s="235">
        <f t="shared" si="26"/>
        <v>0</v>
      </c>
      <c r="I188" s="236">
        <f t="shared" si="27"/>
        <v>0</v>
      </c>
    </row>
    <row r="189" spans="2:9" x14ac:dyDescent="0.3">
      <c r="B189" s="233">
        <f t="shared" si="28"/>
        <v>163</v>
      </c>
      <c r="C189" s="234">
        <f t="shared" si="29"/>
        <v>14</v>
      </c>
      <c r="D189" s="235">
        <f t="shared" si="22"/>
        <v>0</v>
      </c>
      <c r="E189" s="235">
        <f t="shared" si="23"/>
        <v>0</v>
      </c>
      <c r="F189" s="235">
        <f t="shared" si="24"/>
        <v>0</v>
      </c>
      <c r="G189" s="235">
        <f t="shared" si="25"/>
        <v>0</v>
      </c>
      <c r="H189" s="235">
        <f t="shared" si="26"/>
        <v>0</v>
      </c>
      <c r="I189" s="236">
        <f t="shared" si="27"/>
        <v>0</v>
      </c>
    </row>
    <row r="190" spans="2:9" x14ac:dyDescent="0.3">
      <c r="B190" s="233">
        <f t="shared" si="28"/>
        <v>164</v>
      </c>
      <c r="C190" s="234">
        <f t="shared" si="29"/>
        <v>14</v>
      </c>
      <c r="D190" s="235">
        <f t="shared" si="22"/>
        <v>0</v>
      </c>
      <c r="E190" s="235">
        <f t="shared" si="23"/>
        <v>0</v>
      </c>
      <c r="F190" s="235">
        <f t="shared" si="24"/>
        <v>0</v>
      </c>
      <c r="G190" s="235">
        <f t="shared" si="25"/>
        <v>0</v>
      </c>
      <c r="H190" s="235">
        <f t="shared" si="26"/>
        <v>0</v>
      </c>
      <c r="I190" s="236">
        <f t="shared" si="27"/>
        <v>0</v>
      </c>
    </row>
    <row r="191" spans="2:9" x14ac:dyDescent="0.3">
      <c r="B191" s="233">
        <f t="shared" si="28"/>
        <v>165</v>
      </c>
      <c r="C191" s="234">
        <f t="shared" si="29"/>
        <v>14</v>
      </c>
      <c r="D191" s="235">
        <f t="shared" si="22"/>
        <v>0</v>
      </c>
      <c r="E191" s="235">
        <f t="shared" si="23"/>
        <v>0</v>
      </c>
      <c r="F191" s="235">
        <f t="shared" si="24"/>
        <v>0</v>
      </c>
      <c r="G191" s="235">
        <f t="shared" si="25"/>
        <v>0</v>
      </c>
      <c r="H191" s="235">
        <f t="shared" si="26"/>
        <v>0</v>
      </c>
      <c r="I191" s="236">
        <f t="shared" si="27"/>
        <v>0</v>
      </c>
    </row>
    <row r="192" spans="2:9" x14ac:dyDescent="0.3">
      <c r="B192" s="233">
        <f t="shared" si="28"/>
        <v>166</v>
      </c>
      <c r="C192" s="234">
        <f t="shared" si="29"/>
        <v>14</v>
      </c>
      <c r="D192" s="235">
        <f t="shared" si="22"/>
        <v>0</v>
      </c>
      <c r="E192" s="235">
        <f t="shared" si="23"/>
        <v>0</v>
      </c>
      <c r="F192" s="235">
        <f t="shared" si="24"/>
        <v>0</v>
      </c>
      <c r="G192" s="235">
        <f t="shared" si="25"/>
        <v>0</v>
      </c>
      <c r="H192" s="235">
        <f t="shared" si="26"/>
        <v>0</v>
      </c>
      <c r="I192" s="236">
        <f t="shared" si="27"/>
        <v>0</v>
      </c>
    </row>
    <row r="193" spans="2:9" x14ac:dyDescent="0.3">
      <c r="B193" s="233">
        <f t="shared" si="28"/>
        <v>167</v>
      </c>
      <c r="C193" s="234">
        <f t="shared" si="29"/>
        <v>14</v>
      </c>
      <c r="D193" s="235">
        <f t="shared" si="22"/>
        <v>0</v>
      </c>
      <c r="E193" s="235">
        <f t="shared" si="23"/>
        <v>0</v>
      </c>
      <c r="F193" s="235">
        <f t="shared" si="24"/>
        <v>0</v>
      </c>
      <c r="G193" s="235">
        <f t="shared" si="25"/>
        <v>0</v>
      </c>
      <c r="H193" s="235">
        <f t="shared" si="26"/>
        <v>0</v>
      </c>
      <c r="I193" s="236">
        <f t="shared" si="27"/>
        <v>0</v>
      </c>
    </row>
    <row r="194" spans="2:9" x14ac:dyDescent="0.3">
      <c r="B194" s="233">
        <f t="shared" si="28"/>
        <v>168</v>
      </c>
      <c r="C194" s="234">
        <f t="shared" si="29"/>
        <v>14</v>
      </c>
      <c r="D194" s="235">
        <f t="shared" si="22"/>
        <v>0</v>
      </c>
      <c r="E194" s="235">
        <f t="shared" si="23"/>
        <v>0</v>
      </c>
      <c r="F194" s="235">
        <f t="shared" si="24"/>
        <v>0</v>
      </c>
      <c r="G194" s="235">
        <f t="shared" si="25"/>
        <v>0</v>
      </c>
      <c r="H194" s="235">
        <f t="shared" si="26"/>
        <v>0</v>
      </c>
      <c r="I194" s="236">
        <f t="shared" si="27"/>
        <v>0</v>
      </c>
    </row>
    <row r="195" spans="2:9" x14ac:dyDescent="0.3">
      <c r="B195" s="233">
        <f t="shared" si="28"/>
        <v>169</v>
      </c>
      <c r="C195" s="234">
        <f t="shared" si="29"/>
        <v>15</v>
      </c>
      <c r="D195" s="235">
        <f t="shared" si="22"/>
        <v>0</v>
      </c>
      <c r="E195" s="235">
        <f t="shared" si="23"/>
        <v>0</v>
      </c>
      <c r="F195" s="235">
        <f t="shared" si="24"/>
        <v>0</v>
      </c>
      <c r="G195" s="235">
        <f t="shared" si="25"/>
        <v>0</v>
      </c>
      <c r="H195" s="235">
        <f t="shared" si="26"/>
        <v>0</v>
      </c>
      <c r="I195" s="236">
        <f t="shared" si="27"/>
        <v>0</v>
      </c>
    </row>
    <row r="196" spans="2:9" x14ac:dyDescent="0.3">
      <c r="B196" s="233">
        <f t="shared" si="28"/>
        <v>170</v>
      </c>
      <c r="C196" s="234">
        <f t="shared" si="29"/>
        <v>15</v>
      </c>
      <c r="D196" s="235">
        <f t="shared" si="22"/>
        <v>0</v>
      </c>
      <c r="E196" s="235">
        <f t="shared" si="23"/>
        <v>0</v>
      </c>
      <c r="F196" s="235">
        <f t="shared" si="24"/>
        <v>0</v>
      </c>
      <c r="G196" s="235">
        <f t="shared" si="25"/>
        <v>0</v>
      </c>
      <c r="H196" s="235">
        <f t="shared" si="26"/>
        <v>0</v>
      </c>
      <c r="I196" s="236">
        <f t="shared" si="27"/>
        <v>0</v>
      </c>
    </row>
    <row r="197" spans="2:9" x14ac:dyDescent="0.3">
      <c r="B197" s="233">
        <f t="shared" si="28"/>
        <v>171</v>
      </c>
      <c r="C197" s="234">
        <f t="shared" si="29"/>
        <v>15</v>
      </c>
      <c r="D197" s="235">
        <f t="shared" si="22"/>
        <v>0</v>
      </c>
      <c r="E197" s="235">
        <f t="shared" si="23"/>
        <v>0</v>
      </c>
      <c r="F197" s="235">
        <f t="shared" si="24"/>
        <v>0</v>
      </c>
      <c r="G197" s="235">
        <f t="shared" si="25"/>
        <v>0</v>
      </c>
      <c r="H197" s="235">
        <f t="shared" si="26"/>
        <v>0</v>
      </c>
      <c r="I197" s="236">
        <f t="shared" si="27"/>
        <v>0</v>
      </c>
    </row>
    <row r="198" spans="2:9" x14ac:dyDescent="0.3">
      <c r="B198" s="233">
        <f t="shared" si="28"/>
        <v>172</v>
      </c>
      <c r="C198" s="234">
        <f t="shared" si="29"/>
        <v>15</v>
      </c>
      <c r="D198" s="235">
        <f t="shared" si="22"/>
        <v>0</v>
      </c>
      <c r="E198" s="235">
        <f t="shared" si="23"/>
        <v>0</v>
      </c>
      <c r="F198" s="235">
        <f t="shared" si="24"/>
        <v>0</v>
      </c>
      <c r="G198" s="235">
        <f t="shared" si="25"/>
        <v>0</v>
      </c>
      <c r="H198" s="235">
        <f t="shared" si="26"/>
        <v>0</v>
      </c>
      <c r="I198" s="236">
        <f t="shared" si="27"/>
        <v>0</v>
      </c>
    </row>
    <row r="199" spans="2:9" x14ac:dyDescent="0.3">
      <c r="B199" s="233">
        <f t="shared" si="28"/>
        <v>173</v>
      </c>
      <c r="C199" s="234">
        <f t="shared" si="29"/>
        <v>15</v>
      </c>
      <c r="D199" s="235">
        <f t="shared" si="22"/>
        <v>0</v>
      </c>
      <c r="E199" s="235">
        <f t="shared" si="23"/>
        <v>0</v>
      </c>
      <c r="F199" s="235">
        <f t="shared" si="24"/>
        <v>0</v>
      </c>
      <c r="G199" s="235">
        <f t="shared" si="25"/>
        <v>0</v>
      </c>
      <c r="H199" s="235">
        <f t="shared" si="26"/>
        <v>0</v>
      </c>
      <c r="I199" s="236">
        <f t="shared" si="27"/>
        <v>0</v>
      </c>
    </row>
    <row r="200" spans="2:9" x14ac:dyDescent="0.3">
      <c r="B200" s="233">
        <f t="shared" si="28"/>
        <v>174</v>
      </c>
      <c r="C200" s="234">
        <f t="shared" si="29"/>
        <v>15</v>
      </c>
      <c r="D200" s="235">
        <f t="shared" si="22"/>
        <v>0</v>
      </c>
      <c r="E200" s="235">
        <f t="shared" si="23"/>
        <v>0</v>
      </c>
      <c r="F200" s="235">
        <f t="shared" si="24"/>
        <v>0</v>
      </c>
      <c r="G200" s="235">
        <f t="shared" si="25"/>
        <v>0</v>
      </c>
      <c r="H200" s="235">
        <f t="shared" si="26"/>
        <v>0</v>
      </c>
      <c r="I200" s="236">
        <f t="shared" si="27"/>
        <v>0</v>
      </c>
    </row>
    <row r="201" spans="2:9" x14ac:dyDescent="0.3">
      <c r="B201" s="233">
        <f t="shared" si="28"/>
        <v>175</v>
      </c>
      <c r="C201" s="234">
        <f t="shared" si="29"/>
        <v>15</v>
      </c>
      <c r="D201" s="235">
        <f t="shared" si="22"/>
        <v>0</v>
      </c>
      <c r="E201" s="235">
        <f t="shared" si="23"/>
        <v>0</v>
      </c>
      <c r="F201" s="235">
        <f t="shared" si="24"/>
        <v>0</v>
      </c>
      <c r="G201" s="235">
        <f t="shared" si="25"/>
        <v>0</v>
      </c>
      <c r="H201" s="235">
        <f t="shared" si="26"/>
        <v>0</v>
      </c>
      <c r="I201" s="236">
        <f t="shared" si="27"/>
        <v>0</v>
      </c>
    </row>
    <row r="202" spans="2:9" x14ac:dyDescent="0.3">
      <c r="B202" s="233">
        <f t="shared" si="28"/>
        <v>176</v>
      </c>
      <c r="C202" s="234">
        <f t="shared" si="29"/>
        <v>15</v>
      </c>
      <c r="D202" s="235">
        <f t="shared" si="22"/>
        <v>0</v>
      </c>
      <c r="E202" s="235">
        <f t="shared" si="23"/>
        <v>0</v>
      </c>
      <c r="F202" s="235">
        <f t="shared" si="24"/>
        <v>0</v>
      </c>
      <c r="G202" s="235">
        <f t="shared" si="25"/>
        <v>0</v>
      </c>
      <c r="H202" s="235">
        <f t="shared" si="26"/>
        <v>0</v>
      </c>
      <c r="I202" s="236">
        <f t="shared" si="27"/>
        <v>0</v>
      </c>
    </row>
    <row r="203" spans="2:9" x14ac:dyDescent="0.3">
      <c r="B203" s="233">
        <f t="shared" si="28"/>
        <v>177</v>
      </c>
      <c r="C203" s="234">
        <f t="shared" si="29"/>
        <v>15</v>
      </c>
      <c r="D203" s="235">
        <f t="shared" si="22"/>
        <v>0</v>
      </c>
      <c r="E203" s="235">
        <f t="shared" si="23"/>
        <v>0</v>
      </c>
      <c r="F203" s="235">
        <f t="shared" si="24"/>
        <v>0</v>
      </c>
      <c r="G203" s="235">
        <f t="shared" si="25"/>
        <v>0</v>
      </c>
      <c r="H203" s="235">
        <f t="shared" si="26"/>
        <v>0</v>
      </c>
      <c r="I203" s="236">
        <f t="shared" si="27"/>
        <v>0</v>
      </c>
    </row>
    <row r="204" spans="2:9" x14ac:dyDescent="0.3">
      <c r="B204" s="233">
        <f t="shared" si="28"/>
        <v>178</v>
      </c>
      <c r="C204" s="234">
        <f t="shared" si="29"/>
        <v>15</v>
      </c>
      <c r="D204" s="235">
        <f t="shared" si="22"/>
        <v>0</v>
      </c>
      <c r="E204" s="235">
        <f t="shared" si="23"/>
        <v>0</v>
      </c>
      <c r="F204" s="235">
        <f t="shared" si="24"/>
        <v>0</v>
      </c>
      <c r="G204" s="235">
        <f t="shared" si="25"/>
        <v>0</v>
      </c>
      <c r="H204" s="235">
        <f t="shared" si="26"/>
        <v>0</v>
      </c>
      <c r="I204" s="236">
        <f t="shared" si="27"/>
        <v>0</v>
      </c>
    </row>
    <row r="205" spans="2:9" x14ac:dyDescent="0.3">
      <c r="B205" s="233">
        <f t="shared" si="28"/>
        <v>179</v>
      </c>
      <c r="C205" s="234">
        <f t="shared" si="29"/>
        <v>15</v>
      </c>
      <c r="D205" s="235">
        <f t="shared" si="22"/>
        <v>0</v>
      </c>
      <c r="E205" s="235">
        <f t="shared" si="23"/>
        <v>0</v>
      </c>
      <c r="F205" s="235">
        <f t="shared" si="24"/>
        <v>0</v>
      </c>
      <c r="G205" s="235">
        <f t="shared" si="25"/>
        <v>0</v>
      </c>
      <c r="H205" s="235">
        <f t="shared" si="26"/>
        <v>0</v>
      </c>
      <c r="I205" s="236">
        <f t="shared" si="27"/>
        <v>0</v>
      </c>
    </row>
    <row r="206" spans="2:9" x14ac:dyDescent="0.3">
      <c r="B206" s="233">
        <f t="shared" si="28"/>
        <v>180</v>
      </c>
      <c r="C206" s="234">
        <f t="shared" si="29"/>
        <v>15</v>
      </c>
      <c r="D206" s="235">
        <f t="shared" si="22"/>
        <v>0</v>
      </c>
      <c r="E206" s="235">
        <f t="shared" si="23"/>
        <v>0</v>
      </c>
      <c r="F206" s="235">
        <f t="shared" si="24"/>
        <v>0</v>
      </c>
      <c r="G206" s="235">
        <f t="shared" si="25"/>
        <v>0</v>
      </c>
      <c r="H206" s="235">
        <f t="shared" si="26"/>
        <v>0</v>
      </c>
      <c r="I206" s="236">
        <f t="shared" si="27"/>
        <v>0</v>
      </c>
    </row>
    <row r="207" spans="2:9" x14ac:dyDescent="0.3">
      <c r="B207" s="233">
        <f t="shared" si="28"/>
        <v>181</v>
      </c>
      <c r="C207" s="234">
        <f t="shared" si="29"/>
        <v>16</v>
      </c>
      <c r="D207" s="235">
        <f t="shared" si="22"/>
        <v>0</v>
      </c>
      <c r="E207" s="235">
        <f t="shared" si="23"/>
        <v>0</v>
      </c>
      <c r="F207" s="235">
        <f t="shared" si="24"/>
        <v>0</v>
      </c>
      <c r="G207" s="235">
        <f t="shared" si="25"/>
        <v>0</v>
      </c>
      <c r="H207" s="235">
        <f t="shared" si="26"/>
        <v>0</v>
      </c>
      <c r="I207" s="236">
        <f t="shared" si="27"/>
        <v>0</v>
      </c>
    </row>
    <row r="208" spans="2:9" x14ac:dyDescent="0.3">
      <c r="B208" s="233">
        <f t="shared" si="28"/>
        <v>182</v>
      </c>
      <c r="C208" s="234">
        <f t="shared" si="29"/>
        <v>16</v>
      </c>
      <c r="D208" s="235">
        <f t="shared" si="22"/>
        <v>0</v>
      </c>
      <c r="E208" s="235">
        <f t="shared" si="23"/>
        <v>0</v>
      </c>
      <c r="F208" s="235">
        <f t="shared" si="24"/>
        <v>0</v>
      </c>
      <c r="G208" s="235">
        <f t="shared" si="25"/>
        <v>0</v>
      </c>
      <c r="H208" s="235">
        <f t="shared" si="26"/>
        <v>0</v>
      </c>
      <c r="I208" s="236">
        <f t="shared" si="27"/>
        <v>0</v>
      </c>
    </row>
    <row r="209" spans="2:9" x14ac:dyDescent="0.3">
      <c r="B209" s="233">
        <f t="shared" si="28"/>
        <v>183</v>
      </c>
      <c r="C209" s="234">
        <f t="shared" si="29"/>
        <v>16</v>
      </c>
      <c r="D209" s="235">
        <f t="shared" si="22"/>
        <v>0</v>
      </c>
      <c r="E209" s="235">
        <f t="shared" si="23"/>
        <v>0</v>
      </c>
      <c r="F209" s="235">
        <f t="shared" si="24"/>
        <v>0</v>
      </c>
      <c r="G209" s="235">
        <f t="shared" si="25"/>
        <v>0</v>
      </c>
      <c r="H209" s="235">
        <f t="shared" si="26"/>
        <v>0</v>
      </c>
      <c r="I209" s="236">
        <f t="shared" si="27"/>
        <v>0</v>
      </c>
    </row>
    <row r="210" spans="2:9" x14ac:dyDescent="0.3">
      <c r="B210" s="233">
        <f t="shared" si="28"/>
        <v>184</v>
      </c>
      <c r="C210" s="234">
        <f t="shared" si="29"/>
        <v>16</v>
      </c>
      <c r="D210" s="235">
        <f t="shared" si="22"/>
        <v>0</v>
      </c>
      <c r="E210" s="235">
        <f t="shared" si="23"/>
        <v>0</v>
      </c>
      <c r="F210" s="235">
        <f t="shared" si="24"/>
        <v>0</v>
      </c>
      <c r="G210" s="235">
        <f t="shared" si="25"/>
        <v>0</v>
      </c>
      <c r="H210" s="235">
        <f t="shared" si="26"/>
        <v>0</v>
      </c>
      <c r="I210" s="236">
        <f t="shared" si="27"/>
        <v>0</v>
      </c>
    </row>
    <row r="211" spans="2:9" x14ac:dyDescent="0.3">
      <c r="B211" s="233">
        <f t="shared" si="28"/>
        <v>185</v>
      </c>
      <c r="C211" s="234">
        <f t="shared" si="29"/>
        <v>16</v>
      </c>
      <c r="D211" s="235">
        <f t="shared" si="22"/>
        <v>0</v>
      </c>
      <c r="E211" s="235">
        <f t="shared" si="23"/>
        <v>0</v>
      </c>
      <c r="F211" s="235">
        <f t="shared" si="24"/>
        <v>0</v>
      </c>
      <c r="G211" s="235">
        <f t="shared" si="25"/>
        <v>0</v>
      </c>
      <c r="H211" s="235">
        <f t="shared" si="26"/>
        <v>0</v>
      </c>
      <c r="I211" s="236">
        <f t="shared" si="27"/>
        <v>0</v>
      </c>
    </row>
    <row r="212" spans="2:9" x14ac:dyDescent="0.3">
      <c r="B212" s="233">
        <f t="shared" si="28"/>
        <v>186</v>
      </c>
      <c r="C212" s="234">
        <f t="shared" si="29"/>
        <v>16</v>
      </c>
      <c r="D212" s="235">
        <f t="shared" si="22"/>
        <v>0</v>
      </c>
      <c r="E212" s="235">
        <f t="shared" si="23"/>
        <v>0</v>
      </c>
      <c r="F212" s="235">
        <f t="shared" si="24"/>
        <v>0</v>
      </c>
      <c r="G212" s="235">
        <f t="shared" si="25"/>
        <v>0</v>
      </c>
      <c r="H212" s="235">
        <f t="shared" si="26"/>
        <v>0</v>
      </c>
      <c r="I212" s="236">
        <f t="shared" si="27"/>
        <v>0</v>
      </c>
    </row>
    <row r="213" spans="2:9" x14ac:dyDescent="0.3">
      <c r="B213" s="233">
        <f t="shared" si="28"/>
        <v>187</v>
      </c>
      <c r="C213" s="234">
        <f t="shared" si="29"/>
        <v>16</v>
      </c>
      <c r="D213" s="235">
        <f t="shared" si="22"/>
        <v>0</v>
      </c>
      <c r="E213" s="235">
        <f t="shared" si="23"/>
        <v>0</v>
      </c>
      <c r="F213" s="235">
        <f t="shared" si="24"/>
        <v>0</v>
      </c>
      <c r="G213" s="235">
        <f t="shared" si="25"/>
        <v>0</v>
      </c>
      <c r="H213" s="235">
        <f t="shared" si="26"/>
        <v>0</v>
      </c>
      <c r="I213" s="236">
        <f t="shared" si="27"/>
        <v>0</v>
      </c>
    </row>
    <row r="214" spans="2:9" x14ac:dyDescent="0.3">
      <c r="B214" s="233">
        <f t="shared" si="28"/>
        <v>188</v>
      </c>
      <c r="C214" s="234">
        <f t="shared" si="29"/>
        <v>16</v>
      </c>
      <c r="D214" s="235">
        <f t="shared" si="22"/>
        <v>0</v>
      </c>
      <c r="E214" s="235">
        <f t="shared" si="23"/>
        <v>0</v>
      </c>
      <c r="F214" s="235">
        <f t="shared" si="24"/>
        <v>0</v>
      </c>
      <c r="G214" s="235">
        <f t="shared" si="25"/>
        <v>0</v>
      </c>
      <c r="H214" s="235">
        <f t="shared" si="26"/>
        <v>0</v>
      </c>
      <c r="I214" s="236">
        <f t="shared" si="27"/>
        <v>0</v>
      </c>
    </row>
    <row r="215" spans="2:9" x14ac:dyDescent="0.3">
      <c r="B215" s="233">
        <f t="shared" si="28"/>
        <v>189</v>
      </c>
      <c r="C215" s="234">
        <f t="shared" si="29"/>
        <v>16</v>
      </c>
      <c r="D215" s="235">
        <f t="shared" si="22"/>
        <v>0</v>
      </c>
      <c r="E215" s="235">
        <f t="shared" si="23"/>
        <v>0</v>
      </c>
      <c r="F215" s="235">
        <f t="shared" si="24"/>
        <v>0</v>
      </c>
      <c r="G215" s="235">
        <f t="shared" si="25"/>
        <v>0</v>
      </c>
      <c r="H215" s="235">
        <f t="shared" si="26"/>
        <v>0</v>
      </c>
      <c r="I215" s="236">
        <f t="shared" si="27"/>
        <v>0</v>
      </c>
    </row>
    <row r="216" spans="2:9" x14ac:dyDescent="0.3">
      <c r="B216" s="233">
        <f t="shared" si="28"/>
        <v>190</v>
      </c>
      <c r="C216" s="234">
        <f t="shared" si="29"/>
        <v>16</v>
      </c>
      <c r="D216" s="235">
        <f t="shared" si="22"/>
        <v>0</v>
      </c>
      <c r="E216" s="235">
        <f t="shared" si="23"/>
        <v>0</v>
      </c>
      <c r="F216" s="235">
        <f t="shared" si="24"/>
        <v>0</v>
      </c>
      <c r="G216" s="235">
        <f t="shared" si="25"/>
        <v>0</v>
      </c>
      <c r="H216" s="235">
        <f t="shared" si="26"/>
        <v>0</v>
      </c>
      <c r="I216" s="236">
        <f t="shared" si="27"/>
        <v>0</v>
      </c>
    </row>
    <row r="217" spans="2:9" x14ac:dyDescent="0.3">
      <c r="B217" s="233">
        <f t="shared" si="28"/>
        <v>191</v>
      </c>
      <c r="C217" s="234">
        <f t="shared" si="29"/>
        <v>16</v>
      </c>
      <c r="D217" s="235">
        <f t="shared" si="22"/>
        <v>0</v>
      </c>
      <c r="E217" s="235">
        <f t="shared" si="23"/>
        <v>0</v>
      </c>
      <c r="F217" s="235">
        <f t="shared" si="24"/>
        <v>0</v>
      </c>
      <c r="G217" s="235">
        <f t="shared" si="25"/>
        <v>0</v>
      </c>
      <c r="H217" s="235">
        <f t="shared" si="26"/>
        <v>0</v>
      </c>
      <c r="I217" s="236">
        <f t="shared" si="27"/>
        <v>0</v>
      </c>
    </row>
    <row r="218" spans="2:9" x14ac:dyDescent="0.3">
      <c r="B218" s="233">
        <f t="shared" si="28"/>
        <v>192</v>
      </c>
      <c r="C218" s="234">
        <f t="shared" si="29"/>
        <v>16</v>
      </c>
      <c r="D218" s="235">
        <f t="shared" si="22"/>
        <v>0</v>
      </c>
      <c r="E218" s="235">
        <f t="shared" si="23"/>
        <v>0</v>
      </c>
      <c r="F218" s="235">
        <f t="shared" si="24"/>
        <v>0</v>
      </c>
      <c r="G218" s="235">
        <f t="shared" si="25"/>
        <v>0</v>
      </c>
      <c r="H218" s="235">
        <f t="shared" si="26"/>
        <v>0</v>
      </c>
      <c r="I218" s="236">
        <f t="shared" si="27"/>
        <v>0</v>
      </c>
    </row>
    <row r="219" spans="2:9" x14ac:dyDescent="0.3">
      <c r="B219" s="233">
        <f t="shared" si="28"/>
        <v>193</v>
      </c>
      <c r="C219" s="234">
        <f t="shared" si="29"/>
        <v>17</v>
      </c>
      <c r="D219" s="235">
        <f t="shared" si="22"/>
        <v>0</v>
      </c>
      <c r="E219" s="235">
        <f t="shared" si="23"/>
        <v>0</v>
      </c>
      <c r="F219" s="235">
        <f t="shared" si="24"/>
        <v>0</v>
      </c>
      <c r="G219" s="235">
        <f t="shared" si="25"/>
        <v>0</v>
      </c>
      <c r="H219" s="235">
        <f t="shared" si="26"/>
        <v>0</v>
      </c>
      <c r="I219" s="236">
        <f t="shared" si="27"/>
        <v>0</v>
      </c>
    </row>
    <row r="220" spans="2:9" x14ac:dyDescent="0.3">
      <c r="B220" s="233">
        <f t="shared" si="28"/>
        <v>194</v>
      </c>
      <c r="C220" s="234">
        <f t="shared" si="29"/>
        <v>17</v>
      </c>
      <c r="D220" s="235">
        <f t="shared" ref="D220:D283" si="30">I219</f>
        <v>0</v>
      </c>
      <c r="E220" s="235">
        <f t="shared" ref="E220:E283" si="31">IF(B220&gt;($D$5*12),0,IF(B220&lt;$D$6*12+1,D220*($D$4/12),$D$8))</f>
        <v>0</v>
      </c>
      <c r="F220" s="235">
        <f t="shared" ref="F220:F283" si="32">IF(B220=($D$5*12),D220-H220,0)</f>
        <v>0</v>
      </c>
      <c r="G220" s="235">
        <f t="shared" ref="G220:G283" si="33">$D$4/12*D220</f>
        <v>0</v>
      </c>
      <c r="H220" s="235">
        <f t="shared" ref="H220:H283" si="34">IF(B220&lt;($D$6*12+1),0,E220-G220)</f>
        <v>0</v>
      </c>
      <c r="I220" s="236">
        <f t="shared" ref="I220:I283" si="35">D220-H220-F220</f>
        <v>0</v>
      </c>
    </row>
    <row r="221" spans="2:9" x14ac:dyDescent="0.3">
      <c r="B221" s="233">
        <f t="shared" ref="B221:B284" si="36">B220+1</f>
        <v>195</v>
      </c>
      <c r="C221" s="234">
        <f t="shared" si="29"/>
        <v>17</v>
      </c>
      <c r="D221" s="235">
        <f t="shared" si="30"/>
        <v>0</v>
      </c>
      <c r="E221" s="235">
        <f t="shared" si="31"/>
        <v>0</v>
      </c>
      <c r="F221" s="235">
        <f t="shared" si="32"/>
        <v>0</v>
      </c>
      <c r="G221" s="235">
        <f t="shared" si="33"/>
        <v>0</v>
      </c>
      <c r="H221" s="235">
        <f t="shared" si="34"/>
        <v>0</v>
      </c>
      <c r="I221" s="236">
        <f t="shared" si="35"/>
        <v>0</v>
      </c>
    </row>
    <row r="222" spans="2:9" x14ac:dyDescent="0.3">
      <c r="B222" s="233">
        <f t="shared" si="36"/>
        <v>196</v>
      </c>
      <c r="C222" s="234">
        <f t="shared" si="29"/>
        <v>17</v>
      </c>
      <c r="D222" s="235">
        <f t="shared" si="30"/>
        <v>0</v>
      </c>
      <c r="E222" s="235">
        <f t="shared" si="31"/>
        <v>0</v>
      </c>
      <c r="F222" s="235">
        <f t="shared" si="32"/>
        <v>0</v>
      </c>
      <c r="G222" s="235">
        <f t="shared" si="33"/>
        <v>0</v>
      </c>
      <c r="H222" s="235">
        <f t="shared" si="34"/>
        <v>0</v>
      </c>
      <c r="I222" s="236">
        <f t="shared" si="35"/>
        <v>0</v>
      </c>
    </row>
    <row r="223" spans="2:9" x14ac:dyDescent="0.3">
      <c r="B223" s="233">
        <f t="shared" si="36"/>
        <v>197</v>
      </c>
      <c r="C223" s="234">
        <f t="shared" si="29"/>
        <v>17</v>
      </c>
      <c r="D223" s="235">
        <f t="shared" si="30"/>
        <v>0</v>
      </c>
      <c r="E223" s="235">
        <f t="shared" si="31"/>
        <v>0</v>
      </c>
      <c r="F223" s="235">
        <f t="shared" si="32"/>
        <v>0</v>
      </c>
      <c r="G223" s="235">
        <f t="shared" si="33"/>
        <v>0</v>
      </c>
      <c r="H223" s="235">
        <f t="shared" si="34"/>
        <v>0</v>
      </c>
      <c r="I223" s="236">
        <f t="shared" si="35"/>
        <v>0</v>
      </c>
    </row>
    <row r="224" spans="2:9" x14ac:dyDescent="0.3">
      <c r="B224" s="233">
        <f t="shared" si="36"/>
        <v>198</v>
      </c>
      <c r="C224" s="234">
        <f t="shared" si="29"/>
        <v>17</v>
      </c>
      <c r="D224" s="235">
        <f t="shared" si="30"/>
        <v>0</v>
      </c>
      <c r="E224" s="235">
        <f t="shared" si="31"/>
        <v>0</v>
      </c>
      <c r="F224" s="235">
        <f t="shared" si="32"/>
        <v>0</v>
      </c>
      <c r="G224" s="235">
        <f t="shared" si="33"/>
        <v>0</v>
      </c>
      <c r="H224" s="235">
        <f t="shared" si="34"/>
        <v>0</v>
      </c>
      <c r="I224" s="236">
        <f t="shared" si="35"/>
        <v>0</v>
      </c>
    </row>
    <row r="225" spans="2:9" x14ac:dyDescent="0.3">
      <c r="B225" s="233">
        <f t="shared" si="36"/>
        <v>199</v>
      </c>
      <c r="C225" s="234">
        <f t="shared" si="29"/>
        <v>17</v>
      </c>
      <c r="D225" s="235">
        <f t="shared" si="30"/>
        <v>0</v>
      </c>
      <c r="E225" s="235">
        <f t="shared" si="31"/>
        <v>0</v>
      </c>
      <c r="F225" s="235">
        <f t="shared" si="32"/>
        <v>0</v>
      </c>
      <c r="G225" s="235">
        <f t="shared" si="33"/>
        <v>0</v>
      </c>
      <c r="H225" s="235">
        <f t="shared" si="34"/>
        <v>0</v>
      </c>
      <c r="I225" s="236">
        <f t="shared" si="35"/>
        <v>0</v>
      </c>
    </row>
    <row r="226" spans="2:9" x14ac:dyDescent="0.3">
      <c r="B226" s="233">
        <f t="shared" si="36"/>
        <v>200</v>
      </c>
      <c r="C226" s="234">
        <f t="shared" si="29"/>
        <v>17</v>
      </c>
      <c r="D226" s="235">
        <f t="shared" si="30"/>
        <v>0</v>
      </c>
      <c r="E226" s="235">
        <f t="shared" si="31"/>
        <v>0</v>
      </c>
      <c r="F226" s="235">
        <f t="shared" si="32"/>
        <v>0</v>
      </c>
      <c r="G226" s="235">
        <f t="shared" si="33"/>
        <v>0</v>
      </c>
      <c r="H226" s="235">
        <f t="shared" si="34"/>
        <v>0</v>
      </c>
      <c r="I226" s="236">
        <f t="shared" si="35"/>
        <v>0</v>
      </c>
    </row>
    <row r="227" spans="2:9" x14ac:dyDescent="0.3">
      <c r="B227" s="233">
        <f t="shared" si="36"/>
        <v>201</v>
      </c>
      <c r="C227" s="234">
        <f t="shared" si="29"/>
        <v>17</v>
      </c>
      <c r="D227" s="235">
        <f t="shared" si="30"/>
        <v>0</v>
      </c>
      <c r="E227" s="235">
        <f t="shared" si="31"/>
        <v>0</v>
      </c>
      <c r="F227" s="235">
        <f t="shared" si="32"/>
        <v>0</v>
      </c>
      <c r="G227" s="235">
        <f t="shared" si="33"/>
        <v>0</v>
      </c>
      <c r="H227" s="235">
        <f t="shared" si="34"/>
        <v>0</v>
      </c>
      <c r="I227" s="236">
        <f t="shared" si="35"/>
        <v>0</v>
      </c>
    </row>
    <row r="228" spans="2:9" x14ac:dyDescent="0.3">
      <c r="B228" s="233">
        <f t="shared" si="36"/>
        <v>202</v>
      </c>
      <c r="C228" s="234">
        <f t="shared" si="29"/>
        <v>17</v>
      </c>
      <c r="D228" s="235">
        <f t="shared" si="30"/>
        <v>0</v>
      </c>
      <c r="E228" s="235">
        <f t="shared" si="31"/>
        <v>0</v>
      </c>
      <c r="F228" s="235">
        <f t="shared" si="32"/>
        <v>0</v>
      </c>
      <c r="G228" s="235">
        <f t="shared" si="33"/>
        <v>0</v>
      </c>
      <c r="H228" s="235">
        <f t="shared" si="34"/>
        <v>0</v>
      </c>
      <c r="I228" s="236">
        <f t="shared" si="35"/>
        <v>0</v>
      </c>
    </row>
    <row r="229" spans="2:9" x14ac:dyDescent="0.3">
      <c r="B229" s="233">
        <f t="shared" si="36"/>
        <v>203</v>
      </c>
      <c r="C229" s="234">
        <f t="shared" si="29"/>
        <v>17</v>
      </c>
      <c r="D229" s="235">
        <f t="shared" si="30"/>
        <v>0</v>
      </c>
      <c r="E229" s="235">
        <f t="shared" si="31"/>
        <v>0</v>
      </c>
      <c r="F229" s="235">
        <f t="shared" si="32"/>
        <v>0</v>
      </c>
      <c r="G229" s="235">
        <f t="shared" si="33"/>
        <v>0</v>
      </c>
      <c r="H229" s="235">
        <f t="shared" si="34"/>
        <v>0</v>
      </c>
      <c r="I229" s="236">
        <f t="shared" si="35"/>
        <v>0</v>
      </c>
    </row>
    <row r="230" spans="2:9" x14ac:dyDescent="0.3">
      <c r="B230" s="233">
        <f t="shared" si="36"/>
        <v>204</v>
      </c>
      <c r="C230" s="234">
        <f t="shared" si="29"/>
        <v>17</v>
      </c>
      <c r="D230" s="235">
        <f t="shared" si="30"/>
        <v>0</v>
      </c>
      <c r="E230" s="235">
        <f t="shared" si="31"/>
        <v>0</v>
      </c>
      <c r="F230" s="235">
        <f t="shared" si="32"/>
        <v>0</v>
      </c>
      <c r="G230" s="235">
        <f t="shared" si="33"/>
        <v>0</v>
      </c>
      <c r="H230" s="235">
        <f t="shared" si="34"/>
        <v>0</v>
      </c>
      <c r="I230" s="236">
        <f t="shared" si="35"/>
        <v>0</v>
      </c>
    </row>
    <row r="231" spans="2:9" x14ac:dyDescent="0.3">
      <c r="B231" s="233">
        <f t="shared" si="36"/>
        <v>205</v>
      </c>
      <c r="C231" s="234">
        <f t="shared" si="29"/>
        <v>18</v>
      </c>
      <c r="D231" s="235">
        <f t="shared" si="30"/>
        <v>0</v>
      </c>
      <c r="E231" s="235">
        <f t="shared" si="31"/>
        <v>0</v>
      </c>
      <c r="F231" s="235">
        <f t="shared" si="32"/>
        <v>0</v>
      </c>
      <c r="G231" s="235">
        <f t="shared" si="33"/>
        <v>0</v>
      </c>
      <c r="H231" s="235">
        <f t="shared" si="34"/>
        <v>0</v>
      </c>
      <c r="I231" s="236">
        <f t="shared" si="35"/>
        <v>0</v>
      </c>
    </row>
    <row r="232" spans="2:9" x14ac:dyDescent="0.3">
      <c r="B232" s="233">
        <f t="shared" si="36"/>
        <v>206</v>
      </c>
      <c r="C232" s="234">
        <f t="shared" ref="C232:C295" si="37">C220+1</f>
        <v>18</v>
      </c>
      <c r="D232" s="235">
        <f t="shared" si="30"/>
        <v>0</v>
      </c>
      <c r="E232" s="235">
        <f t="shared" si="31"/>
        <v>0</v>
      </c>
      <c r="F232" s="235">
        <f t="shared" si="32"/>
        <v>0</v>
      </c>
      <c r="G232" s="235">
        <f t="shared" si="33"/>
        <v>0</v>
      </c>
      <c r="H232" s="235">
        <f t="shared" si="34"/>
        <v>0</v>
      </c>
      <c r="I232" s="236">
        <f t="shared" si="35"/>
        <v>0</v>
      </c>
    </row>
    <row r="233" spans="2:9" x14ac:dyDescent="0.3">
      <c r="B233" s="233">
        <f t="shared" si="36"/>
        <v>207</v>
      </c>
      <c r="C233" s="234">
        <f t="shared" si="37"/>
        <v>18</v>
      </c>
      <c r="D233" s="235">
        <f t="shared" si="30"/>
        <v>0</v>
      </c>
      <c r="E233" s="235">
        <f t="shared" si="31"/>
        <v>0</v>
      </c>
      <c r="F233" s="235">
        <f t="shared" si="32"/>
        <v>0</v>
      </c>
      <c r="G233" s="235">
        <f t="shared" si="33"/>
        <v>0</v>
      </c>
      <c r="H233" s="235">
        <f t="shared" si="34"/>
        <v>0</v>
      </c>
      <c r="I233" s="236">
        <f t="shared" si="35"/>
        <v>0</v>
      </c>
    </row>
    <row r="234" spans="2:9" x14ac:dyDescent="0.3">
      <c r="B234" s="233">
        <f t="shared" si="36"/>
        <v>208</v>
      </c>
      <c r="C234" s="234">
        <f t="shared" si="37"/>
        <v>18</v>
      </c>
      <c r="D234" s="235">
        <f t="shared" si="30"/>
        <v>0</v>
      </c>
      <c r="E234" s="235">
        <f t="shared" si="31"/>
        <v>0</v>
      </c>
      <c r="F234" s="235">
        <f t="shared" si="32"/>
        <v>0</v>
      </c>
      <c r="G234" s="235">
        <f t="shared" si="33"/>
        <v>0</v>
      </c>
      <c r="H234" s="235">
        <f t="shared" si="34"/>
        <v>0</v>
      </c>
      <c r="I234" s="236">
        <f t="shared" si="35"/>
        <v>0</v>
      </c>
    </row>
    <row r="235" spans="2:9" x14ac:dyDescent="0.3">
      <c r="B235" s="233">
        <f t="shared" si="36"/>
        <v>209</v>
      </c>
      <c r="C235" s="234">
        <f t="shared" si="37"/>
        <v>18</v>
      </c>
      <c r="D235" s="235">
        <f t="shared" si="30"/>
        <v>0</v>
      </c>
      <c r="E235" s="235">
        <f t="shared" si="31"/>
        <v>0</v>
      </c>
      <c r="F235" s="235">
        <f t="shared" si="32"/>
        <v>0</v>
      </c>
      <c r="G235" s="235">
        <f t="shared" si="33"/>
        <v>0</v>
      </c>
      <c r="H235" s="235">
        <f t="shared" si="34"/>
        <v>0</v>
      </c>
      <c r="I235" s="236">
        <f t="shared" si="35"/>
        <v>0</v>
      </c>
    </row>
    <row r="236" spans="2:9" x14ac:dyDescent="0.3">
      <c r="B236" s="233">
        <f t="shared" si="36"/>
        <v>210</v>
      </c>
      <c r="C236" s="234">
        <f t="shared" si="37"/>
        <v>18</v>
      </c>
      <c r="D236" s="235">
        <f t="shared" si="30"/>
        <v>0</v>
      </c>
      <c r="E236" s="235">
        <f t="shared" si="31"/>
        <v>0</v>
      </c>
      <c r="F236" s="235">
        <f t="shared" si="32"/>
        <v>0</v>
      </c>
      <c r="G236" s="235">
        <f t="shared" si="33"/>
        <v>0</v>
      </c>
      <c r="H236" s="235">
        <f t="shared" si="34"/>
        <v>0</v>
      </c>
      <c r="I236" s="236">
        <f t="shared" si="35"/>
        <v>0</v>
      </c>
    </row>
    <row r="237" spans="2:9" x14ac:dyDescent="0.3">
      <c r="B237" s="233">
        <f t="shared" si="36"/>
        <v>211</v>
      </c>
      <c r="C237" s="234">
        <f t="shared" si="37"/>
        <v>18</v>
      </c>
      <c r="D237" s="235">
        <f t="shared" si="30"/>
        <v>0</v>
      </c>
      <c r="E237" s="235">
        <f t="shared" si="31"/>
        <v>0</v>
      </c>
      <c r="F237" s="235">
        <f t="shared" si="32"/>
        <v>0</v>
      </c>
      <c r="G237" s="235">
        <f t="shared" si="33"/>
        <v>0</v>
      </c>
      <c r="H237" s="235">
        <f t="shared" si="34"/>
        <v>0</v>
      </c>
      <c r="I237" s="236">
        <f t="shared" si="35"/>
        <v>0</v>
      </c>
    </row>
    <row r="238" spans="2:9" x14ac:dyDescent="0.3">
      <c r="B238" s="233">
        <f t="shared" si="36"/>
        <v>212</v>
      </c>
      <c r="C238" s="234">
        <f t="shared" si="37"/>
        <v>18</v>
      </c>
      <c r="D238" s="235">
        <f t="shared" si="30"/>
        <v>0</v>
      </c>
      <c r="E238" s="235">
        <f t="shared" si="31"/>
        <v>0</v>
      </c>
      <c r="F238" s="235">
        <f t="shared" si="32"/>
        <v>0</v>
      </c>
      <c r="G238" s="235">
        <f t="shared" si="33"/>
        <v>0</v>
      </c>
      <c r="H238" s="235">
        <f t="shared" si="34"/>
        <v>0</v>
      </c>
      <c r="I238" s="236">
        <f t="shared" si="35"/>
        <v>0</v>
      </c>
    </row>
    <row r="239" spans="2:9" x14ac:dyDescent="0.3">
      <c r="B239" s="233">
        <f t="shared" si="36"/>
        <v>213</v>
      </c>
      <c r="C239" s="234">
        <f t="shared" si="37"/>
        <v>18</v>
      </c>
      <c r="D239" s="235">
        <f t="shared" si="30"/>
        <v>0</v>
      </c>
      <c r="E239" s="235">
        <f t="shared" si="31"/>
        <v>0</v>
      </c>
      <c r="F239" s="235">
        <f t="shared" si="32"/>
        <v>0</v>
      </c>
      <c r="G239" s="235">
        <f t="shared" si="33"/>
        <v>0</v>
      </c>
      <c r="H239" s="235">
        <f t="shared" si="34"/>
        <v>0</v>
      </c>
      <c r="I239" s="236">
        <f t="shared" si="35"/>
        <v>0</v>
      </c>
    </row>
    <row r="240" spans="2:9" x14ac:dyDescent="0.3">
      <c r="B240" s="233">
        <f t="shared" si="36"/>
        <v>214</v>
      </c>
      <c r="C240" s="234">
        <f t="shared" si="37"/>
        <v>18</v>
      </c>
      <c r="D240" s="235">
        <f t="shared" si="30"/>
        <v>0</v>
      </c>
      <c r="E240" s="235">
        <f t="shared" si="31"/>
        <v>0</v>
      </c>
      <c r="F240" s="235">
        <f t="shared" si="32"/>
        <v>0</v>
      </c>
      <c r="G240" s="235">
        <f t="shared" si="33"/>
        <v>0</v>
      </c>
      <c r="H240" s="235">
        <f t="shared" si="34"/>
        <v>0</v>
      </c>
      <c r="I240" s="236">
        <f t="shared" si="35"/>
        <v>0</v>
      </c>
    </row>
    <row r="241" spans="2:9" x14ac:dyDescent="0.3">
      <c r="B241" s="233">
        <f t="shared" si="36"/>
        <v>215</v>
      </c>
      <c r="C241" s="234">
        <f t="shared" si="37"/>
        <v>18</v>
      </c>
      <c r="D241" s="235">
        <f t="shared" si="30"/>
        <v>0</v>
      </c>
      <c r="E241" s="235">
        <f t="shared" si="31"/>
        <v>0</v>
      </c>
      <c r="F241" s="235">
        <f t="shared" si="32"/>
        <v>0</v>
      </c>
      <c r="G241" s="235">
        <f t="shared" si="33"/>
        <v>0</v>
      </c>
      <c r="H241" s="235">
        <f t="shared" si="34"/>
        <v>0</v>
      </c>
      <c r="I241" s="236">
        <f t="shared" si="35"/>
        <v>0</v>
      </c>
    </row>
    <row r="242" spans="2:9" x14ac:dyDescent="0.3">
      <c r="B242" s="233">
        <f t="shared" si="36"/>
        <v>216</v>
      </c>
      <c r="C242" s="234">
        <f t="shared" si="37"/>
        <v>18</v>
      </c>
      <c r="D242" s="235">
        <f t="shared" si="30"/>
        <v>0</v>
      </c>
      <c r="E242" s="235">
        <f t="shared" si="31"/>
        <v>0</v>
      </c>
      <c r="F242" s="235">
        <f t="shared" si="32"/>
        <v>0</v>
      </c>
      <c r="G242" s="235">
        <f t="shared" si="33"/>
        <v>0</v>
      </c>
      <c r="H242" s="235">
        <f t="shared" si="34"/>
        <v>0</v>
      </c>
      <c r="I242" s="236">
        <f t="shared" si="35"/>
        <v>0</v>
      </c>
    </row>
    <row r="243" spans="2:9" x14ac:dyDescent="0.3">
      <c r="B243" s="233">
        <f t="shared" si="36"/>
        <v>217</v>
      </c>
      <c r="C243" s="234">
        <f t="shared" si="37"/>
        <v>19</v>
      </c>
      <c r="D243" s="235">
        <f t="shared" si="30"/>
        <v>0</v>
      </c>
      <c r="E243" s="235">
        <f t="shared" si="31"/>
        <v>0</v>
      </c>
      <c r="F243" s="235">
        <f t="shared" si="32"/>
        <v>0</v>
      </c>
      <c r="G243" s="235">
        <f t="shared" si="33"/>
        <v>0</v>
      </c>
      <c r="H243" s="235">
        <f t="shared" si="34"/>
        <v>0</v>
      </c>
      <c r="I243" s="236">
        <f t="shared" si="35"/>
        <v>0</v>
      </c>
    </row>
    <row r="244" spans="2:9" x14ac:dyDescent="0.3">
      <c r="B244" s="233">
        <f t="shared" si="36"/>
        <v>218</v>
      </c>
      <c r="C244" s="234">
        <f t="shared" si="37"/>
        <v>19</v>
      </c>
      <c r="D244" s="235">
        <f t="shared" si="30"/>
        <v>0</v>
      </c>
      <c r="E244" s="235">
        <f t="shared" si="31"/>
        <v>0</v>
      </c>
      <c r="F244" s="235">
        <f t="shared" si="32"/>
        <v>0</v>
      </c>
      <c r="G244" s="235">
        <f t="shared" si="33"/>
        <v>0</v>
      </c>
      <c r="H244" s="235">
        <f t="shared" si="34"/>
        <v>0</v>
      </c>
      <c r="I244" s="236">
        <f t="shared" si="35"/>
        <v>0</v>
      </c>
    </row>
    <row r="245" spans="2:9" x14ac:dyDescent="0.3">
      <c r="B245" s="233">
        <f t="shared" si="36"/>
        <v>219</v>
      </c>
      <c r="C245" s="234">
        <f t="shared" si="37"/>
        <v>19</v>
      </c>
      <c r="D245" s="235">
        <f t="shared" si="30"/>
        <v>0</v>
      </c>
      <c r="E245" s="235">
        <f t="shared" si="31"/>
        <v>0</v>
      </c>
      <c r="F245" s="235">
        <f t="shared" si="32"/>
        <v>0</v>
      </c>
      <c r="G245" s="235">
        <f t="shared" si="33"/>
        <v>0</v>
      </c>
      <c r="H245" s="235">
        <f t="shared" si="34"/>
        <v>0</v>
      </c>
      <c r="I245" s="236">
        <f t="shared" si="35"/>
        <v>0</v>
      </c>
    </row>
    <row r="246" spans="2:9" x14ac:dyDescent="0.3">
      <c r="B246" s="233">
        <f t="shared" si="36"/>
        <v>220</v>
      </c>
      <c r="C246" s="234">
        <f t="shared" si="37"/>
        <v>19</v>
      </c>
      <c r="D246" s="235">
        <f t="shared" si="30"/>
        <v>0</v>
      </c>
      <c r="E246" s="235">
        <f t="shared" si="31"/>
        <v>0</v>
      </c>
      <c r="F246" s="235">
        <f t="shared" si="32"/>
        <v>0</v>
      </c>
      <c r="G246" s="235">
        <f t="shared" si="33"/>
        <v>0</v>
      </c>
      <c r="H246" s="235">
        <f t="shared" si="34"/>
        <v>0</v>
      </c>
      <c r="I246" s="236">
        <f t="shared" si="35"/>
        <v>0</v>
      </c>
    </row>
    <row r="247" spans="2:9" x14ac:dyDescent="0.3">
      <c r="B247" s="233">
        <f t="shared" si="36"/>
        <v>221</v>
      </c>
      <c r="C247" s="234">
        <f t="shared" si="37"/>
        <v>19</v>
      </c>
      <c r="D247" s="235">
        <f t="shared" si="30"/>
        <v>0</v>
      </c>
      <c r="E247" s="235">
        <f t="shared" si="31"/>
        <v>0</v>
      </c>
      <c r="F247" s="235">
        <f t="shared" si="32"/>
        <v>0</v>
      </c>
      <c r="G247" s="235">
        <f t="shared" si="33"/>
        <v>0</v>
      </c>
      <c r="H247" s="235">
        <f t="shared" si="34"/>
        <v>0</v>
      </c>
      <c r="I247" s="236">
        <f t="shared" si="35"/>
        <v>0</v>
      </c>
    </row>
    <row r="248" spans="2:9" x14ac:dyDescent="0.3">
      <c r="B248" s="233">
        <f t="shared" si="36"/>
        <v>222</v>
      </c>
      <c r="C248" s="234">
        <f t="shared" si="37"/>
        <v>19</v>
      </c>
      <c r="D248" s="235">
        <f t="shared" si="30"/>
        <v>0</v>
      </c>
      <c r="E248" s="235">
        <f t="shared" si="31"/>
        <v>0</v>
      </c>
      <c r="F248" s="235">
        <f t="shared" si="32"/>
        <v>0</v>
      </c>
      <c r="G248" s="235">
        <f t="shared" si="33"/>
        <v>0</v>
      </c>
      <c r="H248" s="235">
        <f t="shared" si="34"/>
        <v>0</v>
      </c>
      <c r="I248" s="236">
        <f t="shared" si="35"/>
        <v>0</v>
      </c>
    </row>
    <row r="249" spans="2:9" x14ac:dyDescent="0.3">
      <c r="B249" s="233">
        <f t="shared" si="36"/>
        <v>223</v>
      </c>
      <c r="C249" s="234">
        <f t="shared" si="37"/>
        <v>19</v>
      </c>
      <c r="D249" s="235">
        <f t="shared" si="30"/>
        <v>0</v>
      </c>
      <c r="E249" s="235">
        <f t="shared" si="31"/>
        <v>0</v>
      </c>
      <c r="F249" s="235">
        <f t="shared" si="32"/>
        <v>0</v>
      </c>
      <c r="G249" s="235">
        <f t="shared" si="33"/>
        <v>0</v>
      </c>
      <c r="H249" s="235">
        <f t="shared" si="34"/>
        <v>0</v>
      </c>
      <c r="I249" s="236">
        <f t="shared" si="35"/>
        <v>0</v>
      </c>
    </row>
    <row r="250" spans="2:9" x14ac:dyDescent="0.3">
      <c r="B250" s="233">
        <f t="shared" si="36"/>
        <v>224</v>
      </c>
      <c r="C250" s="234">
        <f t="shared" si="37"/>
        <v>19</v>
      </c>
      <c r="D250" s="235">
        <f t="shared" si="30"/>
        <v>0</v>
      </c>
      <c r="E250" s="235">
        <f t="shared" si="31"/>
        <v>0</v>
      </c>
      <c r="F250" s="235">
        <f t="shared" si="32"/>
        <v>0</v>
      </c>
      <c r="G250" s="235">
        <f t="shared" si="33"/>
        <v>0</v>
      </c>
      <c r="H250" s="235">
        <f t="shared" si="34"/>
        <v>0</v>
      </c>
      <c r="I250" s="236">
        <f t="shared" si="35"/>
        <v>0</v>
      </c>
    </row>
    <row r="251" spans="2:9" x14ac:dyDescent="0.3">
      <c r="B251" s="233">
        <f t="shared" si="36"/>
        <v>225</v>
      </c>
      <c r="C251" s="234">
        <f t="shared" si="37"/>
        <v>19</v>
      </c>
      <c r="D251" s="235">
        <f t="shared" si="30"/>
        <v>0</v>
      </c>
      <c r="E251" s="235">
        <f t="shared" si="31"/>
        <v>0</v>
      </c>
      <c r="F251" s="235">
        <f t="shared" si="32"/>
        <v>0</v>
      </c>
      <c r="G251" s="235">
        <f t="shared" si="33"/>
        <v>0</v>
      </c>
      <c r="H251" s="235">
        <f t="shared" si="34"/>
        <v>0</v>
      </c>
      <c r="I251" s="236">
        <f t="shared" si="35"/>
        <v>0</v>
      </c>
    </row>
    <row r="252" spans="2:9" x14ac:dyDescent="0.3">
      <c r="B252" s="233">
        <f t="shared" si="36"/>
        <v>226</v>
      </c>
      <c r="C252" s="234">
        <f t="shared" si="37"/>
        <v>19</v>
      </c>
      <c r="D252" s="235">
        <f t="shared" si="30"/>
        <v>0</v>
      </c>
      <c r="E252" s="235">
        <f t="shared" si="31"/>
        <v>0</v>
      </c>
      <c r="F252" s="235">
        <f t="shared" si="32"/>
        <v>0</v>
      </c>
      <c r="G252" s="235">
        <f t="shared" si="33"/>
        <v>0</v>
      </c>
      <c r="H252" s="235">
        <f t="shared" si="34"/>
        <v>0</v>
      </c>
      <c r="I252" s="236">
        <f t="shared" si="35"/>
        <v>0</v>
      </c>
    </row>
    <row r="253" spans="2:9" x14ac:dyDescent="0.3">
      <c r="B253" s="233">
        <f t="shared" si="36"/>
        <v>227</v>
      </c>
      <c r="C253" s="234">
        <f t="shared" si="37"/>
        <v>19</v>
      </c>
      <c r="D253" s="235">
        <f t="shared" si="30"/>
        <v>0</v>
      </c>
      <c r="E253" s="235">
        <f t="shared" si="31"/>
        <v>0</v>
      </c>
      <c r="F253" s="235">
        <f t="shared" si="32"/>
        <v>0</v>
      </c>
      <c r="G253" s="235">
        <f t="shared" si="33"/>
        <v>0</v>
      </c>
      <c r="H253" s="235">
        <f t="shared" si="34"/>
        <v>0</v>
      </c>
      <c r="I253" s="236">
        <f t="shared" si="35"/>
        <v>0</v>
      </c>
    </row>
    <row r="254" spans="2:9" x14ac:dyDescent="0.3">
      <c r="B254" s="233">
        <f t="shared" si="36"/>
        <v>228</v>
      </c>
      <c r="C254" s="234">
        <f t="shared" si="37"/>
        <v>19</v>
      </c>
      <c r="D254" s="235">
        <f t="shared" si="30"/>
        <v>0</v>
      </c>
      <c r="E254" s="235">
        <f t="shared" si="31"/>
        <v>0</v>
      </c>
      <c r="F254" s="235">
        <f t="shared" si="32"/>
        <v>0</v>
      </c>
      <c r="G254" s="235">
        <f t="shared" si="33"/>
        <v>0</v>
      </c>
      <c r="H254" s="235">
        <f t="shared" si="34"/>
        <v>0</v>
      </c>
      <c r="I254" s="236">
        <f t="shared" si="35"/>
        <v>0</v>
      </c>
    </row>
    <row r="255" spans="2:9" x14ac:dyDescent="0.3">
      <c r="B255" s="233">
        <f t="shared" si="36"/>
        <v>229</v>
      </c>
      <c r="C255" s="234">
        <f t="shared" si="37"/>
        <v>20</v>
      </c>
      <c r="D255" s="235">
        <f t="shared" si="30"/>
        <v>0</v>
      </c>
      <c r="E255" s="235">
        <f t="shared" si="31"/>
        <v>0</v>
      </c>
      <c r="F255" s="235">
        <f t="shared" si="32"/>
        <v>0</v>
      </c>
      <c r="G255" s="235">
        <f t="shared" si="33"/>
        <v>0</v>
      </c>
      <c r="H255" s="235">
        <f t="shared" si="34"/>
        <v>0</v>
      </c>
      <c r="I255" s="236">
        <f t="shared" si="35"/>
        <v>0</v>
      </c>
    </row>
    <row r="256" spans="2:9" x14ac:dyDescent="0.3">
      <c r="B256" s="233">
        <f t="shared" si="36"/>
        <v>230</v>
      </c>
      <c r="C256" s="234">
        <f t="shared" si="37"/>
        <v>20</v>
      </c>
      <c r="D256" s="235">
        <f t="shared" si="30"/>
        <v>0</v>
      </c>
      <c r="E256" s="235">
        <f t="shared" si="31"/>
        <v>0</v>
      </c>
      <c r="F256" s="235">
        <f t="shared" si="32"/>
        <v>0</v>
      </c>
      <c r="G256" s="235">
        <f t="shared" si="33"/>
        <v>0</v>
      </c>
      <c r="H256" s="235">
        <f t="shared" si="34"/>
        <v>0</v>
      </c>
      <c r="I256" s="236">
        <f t="shared" si="35"/>
        <v>0</v>
      </c>
    </row>
    <row r="257" spans="2:9" x14ac:dyDescent="0.3">
      <c r="B257" s="233">
        <f t="shared" si="36"/>
        <v>231</v>
      </c>
      <c r="C257" s="234">
        <f t="shared" si="37"/>
        <v>20</v>
      </c>
      <c r="D257" s="235">
        <f t="shared" si="30"/>
        <v>0</v>
      </c>
      <c r="E257" s="235">
        <f t="shared" si="31"/>
        <v>0</v>
      </c>
      <c r="F257" s="235">
        <f t="shared" si="32"/>
        <v>0</v>
      </c>
      <c r="G257" s="235">
        <f t="shared" si="33"/>
        <v>0</v>
      </c>
      <c r="H257" s="235">
        <f t="shared" si="34"/>
        <v>0</v>
      </c>
      <c r="I257" s="236">
        <f t="shared" si="35"/>
        <v>0</v>
      </c>
    </row>
    <row r="258" spans="2:9" x14ac:dyDescent="0.3">
      <c r="B258" s="233">
        <f t="shared" si="36"/>
        <v>232</v>
      </c>
      <c r="C258" s="234">
        <f t="shared" si="37"/>
        <v>20</v>
      </c>
      <c r="D258" s="235">
        <f t="shared" si="30"/>
        <v>0</v>
      </c>
      <c r="E258" s="235">
        <f t="shared" si="31"/>
        <v>0</v>
      </c>
      <c r="F258" s="235">
        <f t="shared" si="32"/>
        <v>0</v>
      </c>
      <c r="G258" s="235">
        <f t="shared" si="33"/>
        <v>0</v>
      </c>
      <c r="H258" s="235">
        <f t="shared" si="34"/>
        <v>0</v>
      </c>
      <c r="I258" s="236">
        <f t="shared" si="35"/>
        <v>0</v>
      </c>
    </row>
    <row r="259" spans="2:9" x14ac:dyDescent="0.3">
      <c r="B259" s="233">
        <f t="shared" si="36"/>
        <v>233</v>
      </c>
      <c r="C259" s="234">
        <f t="shared" si="37"/>
        <v>20</v>
      </c>
      <c r="D259" s="235">
        <f t="shared" si="30"/>
        <v>0</v>
      </c>
      <c r="E259" s="235">
        <f t="shared" si="31"/>
        <v>0</v>
      </c>
      <c r="F259" s="235">
        <f t="shared" si="32"/>
        <v>0</v>
      </c>
      <c r="G259" s="235">
        <f t="shared" si="33"/>
        <v>0</v>
      </c>
      <c r="H259" s="235">
        <f t="shared" si="34"/>
        <v>0</v>
      </c>
      <c r="I259" s="236">
        <f t="shared" si="35"/>
        <v>0</v>
      </c>
    </row>
    <row r="260" spans="2:9" x14ac:dyDescent="0.3">
      <c r="B260" s="233">
        <f t="shared" si="36"/>
        <v>234</v>
      </c>
      <c r="C260" s="234">
        <f t="shared" si="37"/>
        <v>20</v>
      </c>
      <c r="D260" s="235">
        <f t="shared" si="30"/>
        <v>0</v>
      </c>
      <c r="E260" s="235">
        <f t="shared" si="31"/>
        <v>0</v>
      </c>
      <c r="F260" s="235">
        <f t="shared" si="32"/>
        <v>0</v>
      </c>
      <c r="G260" s="235">
        <f t="shared" si="33"/>
        <v>0</v>
      </c>
      <c r="H260" s="235">
        <f t="shared" si="34"/>
        <v>0</v>
      </c>
      <c r="I260" s="236">
        <f t="shared" si="35"/>
        <v>0</v>
      </c>
    </row>
    <row r="261" spans="2:9" x14ac:dyDescent="0.3">
      <c r="B261" s="233">
        <f t="shared" si="36"/>
        <v>235</v>
      </c>
      <c r="C261" s="234">
        <f t="shared" si="37"/>
        <v>20</v>
      </c>
      <c r="D261" s="235">
        <f t="shared" si="30"/>
        <v>0</v>
      </c>
      <c r="E261" s="235">
        <f t="shared" si="31"/>
        <v>0</v>
      </c>
      <c r="F261" s="235">
        <f t="shared" si="32"/>
        <v>0</v>
      </c>
      <c r="G261" s="235">
        <f t="shared" si="33"/>
        <v>0</v>
      </c>
      <c r="H261" s="235">
        <f t="shared" si="34"/>
        <v>0</v>
      </c>
      <c r="I261" s="236">
        <f t="shared" si="35"/>
        <v>0</v>
      </c>
    </row>
    <row r="262" spans="2:9" x14ac:dyDescent="0.3">
      <c r="B262" s="233">
        <f t="shared" si="36"/>
        <v>236</v>
      </c>
      <c r="C262" s="234">
        <f t="shared" si="37"/>
        <v>20</v>
      </c>
      <c r="D262" s="235">
        <f t="shared" si="30"/>
        <v>0</v>
      </c>
      <c r="E262" s="235">
        <f t="shared" si="31"/>
        <v>0</v>
      </c>
      <c r="F262" s="235">
        <f t="shared" si="32"/>
        <v>0</v>
      </c>
      <c r="G262" s="235">
        <f t="shared" si="33"/>
        <v>0</v>
      </c>
      <c r="H262" s="235">
        <f t="shared" si="34"/>
        <v>0</v>
      </c>
      <c r="I262" s="236">
        <f t="shared" si="35"/>
        <v>0</v>
      </c>
    </row>
    <row r="263" spans="2:9" x14ac:dyDescent="0.3">
      <c r="B263" s="233">
        <f t="shared" si="36"/>
        <v>237</v>
      </c>
      <c r="C263" s="234">
        <f t="shared" si="37"/>
        <v>20</v>
      </c>
      <c r="D263" s="235">
        <f t="shared" si="30"/>
        <v>0</v>
      </c>
      <c r="E263" s="235">
        <f t="shared" si="31"/>
        <v>0</v>
      </c>
      <c r="F263" s="235">
        <f t="shared" si="32"/>
        <v>0</v>
      </c>
      <c r="G263" s="235">
        <f t="shared" si="33"/>
        <v>0</v>
      </c>
      <c r="H263" s="235">
        <f t="shared" si="34"/>
        <v>0</v>
      </c>
      <c r="I263" s="236">
        <f t="shared" si="35"/>
        <v>0</v>
      </c>
    </row>
    <row r="264" spans="2:9" x14ac:dyDescent="0.3">
      <c r="B264" s="233">
        <f t="shared" si="36"/>
        <v>238</v>
      </c>
      <c r="C264" s="234">
        <f t="shared" si="37"/>
        <v>20</v>
      </c>
      <c r="D264" s="235">
        <f t="shared" si="30"/>
        <v>0</v>
      </c>
      <c r="E264" s="235">
        <f t="shared" si="31"/>
        <v>0</v>
      </c>
      <c r="F264" s="235">
        <f t="shared" si="32"/>
        <v>0</v>
      </c>
      <c r="G264" s="235">
        <f t="shared" si="33"/>
        <v>0</v>
      </c>
      <c r="H264" s="235">
        <f t="shared" si="34"/>
        <v>0</v>
      </c>
      <c r="I264" s="236">
        <f t="shared" si="35"/>
        <v>0</v>
      </c>
    </row>
    <row r="265" spans="2:9" x14ac:dyDescent="0.3">
      <c r="B265" s="233">
        <f t="shared" si="36"/>
        <v>239</v>
      </c>
      <c r="C265" s="234">
        <f t="shared" si="37"/>
        <v>20</v>
      </c>
      <c r="D265" s="235">
        <f t="shared" si="30"/>
        <v>0</v>
      </c>
      <c r="E265" s="235">
        <f t="shared" si="31"/>
        <v>0</v>
      </c>
      <c r="F265" s="235">
        <f t="shared" si="32"/>
        <v>0</v>
      </c>
      <c r="G265" s="235">
        <f t="shared" si="33"/>
        <v>0</v>
      </c>
      <c r="H265" s="235">
        <f t="shared" si="34"/>
        <v>0</v>
      </c>
      <c r="I265" s="236">
        <f t="shared" si="35"/>
        <v>0</v>
      </c>
    </row>
    <row r="266" spans="2:9" x14ac:dyDescent="0.3">
      <c r="B266" s="233">
        <f t="shared" si="36"/>
        <v>240</v>
      </c>
      <c r="C266" s="234">
        <f t="shared" si="37"/>
        <v>20</v>
      </c>
      <c r="D266" s="235">
        <f t="shared" si="30"/>
        <v>0</v>
      </c>
      <c r="E266" s="235">
        <f t="shared" si="31"/>
        <v>0</v>
      </c>
      <c r="F266" s="235">
        <f t="shared" si="32"/>
        <v>0</v>
      </c>
      <c r="G266" s="235">
        <f t="shared" si="33"/>
        <v>0</v>
      </c>
      <c r="H266" s="235">
        <f t="shared" si="34"/>
        <v>0</v>
      </c>
      <c r="I266" s="236">
        <f t="shared" si="35"/>
        <v>0</v>
      </c>
    </row>
    <row r="267" spans="2:9" x14ac:dyDescent="0.3">
      <c r="B267" s="233">
        <f t="shared" si="36"/>
        <v>241</v>
      </c>
      <c r="C267" s="234">
        <f t="shared" si="37"/>
        <v>21</v>
      </c>
      <c r="D267" s="235">
        <f t="shared" si="30"/>
        <v>0</v>
      </c>
      <c r="E267" s="235">
        <f t="shared" si="31"/>
        <v>0</v>
      </c>
      <c r="F267" s="235">
        <f t="shared" si="32"/>
        <v>0</v>
      </c>
      <c r="G267" s="235">
        <f t="shared" si="33"/>
        <v>0</v>
      </c>
      <c r="H267" s="235">
        <f t="shared" si="34"/>
        <v>0</v>
      </c>
      <c r="I267" s="236">
        <f t="shared" si="35"/>
        <v>0</v>
      </c>
    </row>
    <row r="268" spans="2:9" x14ac:dyDescent="0.3">
      <c r="B268" s="233">
        <f t="shared" si="36"/>
        <v>242</v>
      </c>
      <c r="C268" s="234">
        <f t="shared" si="37"/>
        <v>21</v>
      </c>
      <c r="D268" s="235">
        <f t="shared" si="30"/>
        <v>0</v>
      </c>
      <c r="E268" s="235">
        <f t="shared" si="31"/>
        <v>0</v>
      </c>
      <c r="F268" s="235">
        <f t="shared" si="32"/>
        <v>0</v>
      </c>
      <c r="G268" s="235">
        <f t="shared" si="33"/>
        <v>0</v>
      </c>
      <c r="H268" s="235">
        <f t="shared" si="34"/>
        <v>0</v>
      </c>
      <c r="I268" s="236">
        <f t="shared" si="35"/>
        <v>0</v>
      </c>
    </row>
    <row r="269" spans="2:9" x14ac:dyDescent="0.3">
      <c r="B269" s="233">
        <f t="shared" si="36"/>
        <v>243</v>
      </c>
      <c r="C269" s="234">
        <f t="shared" si="37"/>
        <v>21</v>
      </c>
      <c r="D269" s="235">
        <f t="shared" si="30"/>
        <v>0</v>
      </c>
      <c r="E269" s="235">
        <f t="shared" si="31"/>
        <v>0</v>
      </c>
      <c r="F269" s="235">
        <f t="shared" si="32"/>
        <v>0</v>
      </c>
      <c r="G269" s="235">
        <f t="shared" si="33"/>
        <v>0</v>
      </c>
      <c r="H269" s="235">
        <f t="shared" si="34"/>
        <v>0</v>
      </c>
      <c r="I269" s="236">
        <f t="shared" si="35"/>
        <v>0</v>
      </c>
    </row>
    <row r="270" spans="2:9" x14ac:dyDescent="0.3">
      <c r="B270" s="233">
        <f t="shared" si="36"/>
        <v>244</v>
      </c>
      <c r="C270" s="234">
        <f t="shared" si="37"/>
        <v>21</v>
      </c>
      <c r="D270" s="235">
        <f t="shared" si="30"/>
        <v>0</v>
      </c>
      <c r="E270" s="235">
        <f t="shared" si="31"/>
        <v>0</v>
      </c>
      <c r="F270" s="235">
        <f t="shared" si="32"/>
        <v>0</v>
      </c>
      <c r="G270" s="235">
        <f t="shared" si="33"/>
        <v>0</v>
      </c>
      <c r="H270" s="235">
        <f t="shared" si="34"/>
        <v>0</v>
      </c>
      <c r="I270" s="236">
        <f t="shared" si="35"/>
        <v>0</v>
      </c>
    </row>
    <row r="271" spans="2:9" x14ac:dyDescent="0.3">
      <c r="B271" s="233">
        <f t="shared" si="36"/>
        <v>245</v>
      </c>
      <c r="C271" s="234">
        <f t="shared" si="37"/>
        <v>21</v>
      </c>
      <c r="D271" s="235">
        <f t="shared" si="30"/>
        <v>0</v>
      </c>
      <c r="E271" s="235">
        <f t="shared" si="31"/>
        <v>0</v>
      </c>
      <c r="F271" s="235">
        <f t="shared" si="32"/>
        <v>0</v>
      </c>
      <c r="G271" s="235">
        <f t="shared" si="33"/>
        <v>0</v>
      </c>
      <c r="H271" s="235">
        <f t="shared" si="34"/>
        <v>0</v>
      </c>
      <c r="I271" s="236">
        <f t="shared" si="35"/>
        <v>0</v>
      </c>
    </row>
    <row r="272" spans="2:9" x14ac:dyDescent="0.3">
      <c r="B272" s="233">
        <f t="shared" si="36"/>
        <v>246</v>
      </c>
      <c r="C272" s="234">
        <f t="shared" si="37"/>
        <v>21</v>
      </c>
      <c r="D272" s="235">
        <f t="shared" si="30"/>
        <v>0</v>
      </c>
      <c r="E272" s="235">
        <f t="shared" si="31"/>
        <v>0</v>
      </c>
      <c r="F272" s="235">
        <f t="shared" si="32"/>
        <v>0</v>
      </c>
      <c r="G272" s="235">
        <f t="shared" si="33"/>
        <v>0</v>
      </c>
      <c r="H272" s="235">
        <f t="shared" si="34"/>
        <v>0</v>
      </c>
      <c r="I272" s="236">
        <f t="shared" si="35"/>
        <v>0</v>
      </c>
    </row>
    <row r="273" spans="2:9" x14ac:dyDescent="0.3">
      <c r="B273" s="233">
        <f t="shared" si="36"/>
        <v>247</v>
      </c>
      <c r="C273" s="234">
        <f t="shared" si="37"/>
        <v>21</v>
      </c>
      <c r="D273" s="235">
        <f t="shared" si="30"/>
        <v>0</v>
      </c>
      <c r="E273" s="235">
        <f t="shared" si="31"/>
        <v>0</v>
      </c>
      <c r="F273" s="235">
        <f t="shared" si="32"/>
        <v>0</v>
      </c>
      <c r="G273" s="235">
        <f t="shared" si="33"/>
        <v>0</v>
      </c>
      <c r="H273" s="235">
        <f t="shared" si="34"/>
        <v>0</v>
      </c>
      <c r="I273" s="236">
        <f t="shared" si="35"/>
        <v>0</v>
      </c>
    </row>
    <row r="274" spans="2:9" x14ac:dyDescent="0.3">
      <c r="B274" s="233">
        <f t="shared" si="36"/>
        <v>248</v>
      </c>
      <c r="C274" s="234">
        <f t="shared" si="37"/>
        <v>21</v>
      </c>
      <c r="D274" s="235">
        <f t="shared" si="30"/>
        <v>0</v>
      </c>
      <c r="E274" s="235">
        <f t="shared" si="31"/>
        <v>0</v>
      </c>
      <c r="F274" s="235">
        <f t="shared" si="32"/>
        <v>0</v>
      </c>
      <c r="G274" s="235">
        <f t="shared" si="33"/>
        <v>0</v>
      </c>
      <c r="H274" s="235">
        <f t="shared" si="34"/>
        <v>0</v>
      </c>
      <c r="I274" s="236">
        <f t="shared" si="35"/>
        <v>0</v>
      </c>
    </row>
    <row r="275" spans="2:9" x14ac:dyDescent="0.3">
      <c r="B275" s="233">
        <f t="shared" si="36"/>
        <v>249</v>
      </c>
      <c r="C275" s="234">
        <f t="shared" si="37"/>
        <v>21</v>
      </c>
      <c r="D275" s="235">
        <f t="shared" si="30"/>
        <v>0</v>
      </c>
      <c r="E275" s="235">
        <f t="shared" si="31"/>
        <v>0</v>
      </c>
      <c r="F275" s="235">
        <f t="shared" si="32"/>
        <v>0</v>
      </c>
      <c r="G275" s="235">
        <f t="shared" si="33"/>
        <v>0</v>
      </c>
      <c r="H275" s="235">
        <f t="shared" si="34"/>
        <v>0</v>
      </c>
      <c r="I275" s="236">
        <f t="shared" si="35"/>
        <v>0</v>
      </c>
    </row>
    <row r="276" spans="2:9" x14ac:dyDescent="0.3">
      <c r="B276" s="233">
        <f t="shared" si="36"/>
        <v>250</v>
      </c>
      <c r="C276" s="234">
        <f t="shared" si="37"/>
        <v>21</v>
      </c>
      <c r="D276" s="235">
        <f t="shared" si="30"/>
        <v>0</v>
      </c>
      <c r="E276" s="235">
        <f t="shared" si="31"/>
        <v>0</v>
      </c>
      <c r="F276" s="235">
        <f t="shared" si="32"/>
        <v>0</v>
      </c>
      <c r="G276" s="235">
        <f t="shared" si="33"/>
        <v>0</v>
      </c>
      <c r="H276" s="235">
        <f t="shared" si="34"/>
        <v>0</v>
      </c>
      <c r="I276" s="236">
        <f t="shared" si="35"/>
        <v>0</v>
      </c>
    </row>
    <row r="277" spans="2:9" x14ac:dyDescent="0.3">
      <c r="B277" s="233">
        <f t="shared" si="36"/>
        <v>251</v>
      </c>
      <c r="C277" s="234">
        <f t="shared" si="37"/>
        <v>21</v>
      </c>
      <c r="D277" s="235">
        <f t="shared" si="30"/>
        <v>0</v>
      </c>
      <c r="E277" s="235">
        <f t="shared" si="31"/>
        <v>0</v>
      </c>
      <c r="F277" s="235">
        <f t="shared" si="32"/>
        <v>0</v>
      </c>
      <c r="G277" s="235">
        <f t="shared" si="33"/>
        <v>0</v>
      </c>
      <c r="H277" s="235">
        <f t="shared" si="34"/>
        <v>0</v>
      </c>
      <c r="I277" s="236">
        <f t="shared" si="35"/>
        <v>0</v>
      </c>
    </row>
    <row r="278" spans="2:9" x14ac:dyDescent="0.3">
      <c r="B278" s="233">
        <f t="shared" si="36"/>
        <v>252</v>
      </c>
      <c r="C278" s="234">
        <f t="shared" si="37"/>
        <v>21</v>
      </c>
      <c r="D278" s="235">
        <f t="shared" si="30"/>
        <v>0</v>
      </c>
      <c r="E278" s="235">
        <f t="shared" si="31"/>
        <v>0</v>
      </c>
      <c r="F278" s="235">
        <f t="shared" si="32"/>
        <v>0</v>
      </c>
      <c r="G278" s="235">
        <f t="shared" si="33"/>
        <v>0</v>
      </c>
      <c r="H278" s="235">
        <f t="shared" si="34"/>
        <v>0</v>
      </c>
      <c r="I278" s="236">
        <f t="shared" si="35"/>
        <v>0</v>
      </c>
    </row>
    <row r="279" spans="2:9" x14ac:dyDescent="0.3">
      <c r="B279" s="233">
        <f t="shared" si="36"/>
        <v>253</v>
      </c>
      <c r="C279" s="234">
        <f t="shared" si="37"/>
        <v>22</v>
      </c>
      <c r="D279" s="235">
        <f t="shared" si="30"/>
        <v>0</v>
      </c>
      <c r="E279" s="235">
        <f t="shared" si="31"/>
        <v>0</v>
      </c>
      <c r="F279" s="235">
        <f t="shared" si="32"/>
        <v>0</v>
      </c>
      <c r="G279" s="235">
        <f t="shared" si="33"/>
        <v>0</v>
      </c>
      <c r="H279" s="235">
        <f t="shared" si="34"/>
        <v>0</v>
      </c>
      <c r="I279" s="236">
        <f t="shared" si="35"/>
        <v>0</v>
      </c>
    </row>
    <row r="280" spans="2:9" x14ac:dyDescent="0.3">
      <c r="B280" s="233">
        <f t="shared" si="36"/>
        <v>254</v>
      </c>
      <c r="C280" s="234">
        <f t="shared" si="37"/>
        <v>22</v>
      </c>
      <c r="D280" s="235">
        <f t="shared" si="30"/>
        <v>0</v>
      </c>
      <c r="E280" s="235">
        <f t="shared" si="31"/>
        <v>0</v>
      </c>
      <c r="F280" s="235">
        <f t="shared" si="32"/>
        <v>0</v>
      </c>
      <c r="G280" s="235">
        <f t="shared" si="33"/>
        <v>0</v>
      </c>
      <c r="H280" s="235">
        <f t="shared" si="34"/>
        <v>0</v>
      </c>
      <c r="I280" s="236">
        <f t="shared" si="35"/>
        <v>0</v>
      </c>
    </row>
    <row r="281" spans="2:9" x14ac:dyDescent="0.3">
      <c r="B281" s="233">
        <f t="shared" si="36"/>
        <v>255</v>
      </c>
      <c r="C281" s="234">
        <f t="shared" si="37"/>
        <v>22</v>
      </c>
      <c r="D281" s="235">
        <f t="shared" si="30"/>
        <v>0</v>
      </c>
      <c r="E281" s="235">
        <f t="shared" si="31"/>
        <v>0</v>
      </c>
      <c r="F281" s="235">
        <f t="shared" si="32"/>
        <v>0</v>
      </c>
      <c r="G281" s="235">
        <f t="shared" si="33"/>
        <v>0</v>
      </c>
      <c r="H281" s="235">
        <f t="shared" si="34"/>
        <v>0</v>
      </c>
      <c r="I281" s="236">
        <f t="shared" si="35"/>
        <v>0</v>
      </c>
    </row>
    <row r="282" spans="2:9" x14ac:dyDescent="0.3">
      <c r="B282" s="233">
        <f t="shared" si="36"/>
        <v>256</v>
      </c>
      <c r="C282" s="234">
        <f t="shared" si="37"/>
        <v>22</v>
      </c>
      <c r="D282" s="235">
        <f t="shared" si="30"/>
        <v>0</v>
      </c>
      <c r="E282" s="235">
        <f t="shared" si="31"/>
        <v>0</v>
      </c>
      <c r="F282" s="235">
        <f t="shared" si="32"/>
        <v>0</v>
      </c>
      <c r="G282" s="235">
        <f t="shared" si="33"/>
        <v>0</v>
      </c>
      <c r="H282" s="235">
        <f t="shared" si="34"/>
        <v>0</v>
      </c>
      <c r="I282" s="236">
        <f t="shared" si="35"/>
        <v>0</v>
      </c>
    </row>
    <row r="283" spans="2:9" x14ac:dyDescent="0.3">
      <c r="B283" s="233">
        <f t="shared" si="36"/>
        <v>257</v>
      </c>
      <c r="C283" s="234">
        <f t="shared" si="37"/>
        <v>22</v>
      </c>
      <c r="D283" s="235">
        <f t="shared" si="30"/>
        <v>0</v>
      </c>
      <c r="E283" s="235">
        <f t="shared" si="31"/>
        <v>0</v>
      </c>
      <c r="F283" s="235">
        <f t="shared" si="32"/>
        <v>0</v>
      </c>
      <c r="G283" s="235">
        <f t="shared" si="33"/>
        <v>0</v>
      </c>
      <c r="H283" s="235">
        <f t="shared" si="34"/>
        <v>0</v>
      </c>
      <c r="I283" s="236">
        <f t="shared" si="35"/>
        <v>0</v>
      </c>
    </row>
    <row r="284" spans="2:9" x14ac:dyDescent="0.3">
      <c r="B284" s="233">
        <f t="shared" si="36"/>
        <v>258</v>
      </c>
      <c r="C284" s="234">
        <f t="shared" si="37"/>
        <v>22</v>
      </c>
      <c r="D284" s="235">
        <f t="shared" ref="D284:D347" si="38">I283</f>
        <v>0</v>
      </c>
      <c r="E284" s="235">
        <f t="shared" ref="E284:E347" si="39">IF(B284&gt;($D$5*12),0,IF(B284&lt;$D$6*12+1,D284*($D$4/12),$D$8))</f>
        <v>0</v>
      </c>
      <c r="F284" s="235">
        <f t="shared" ref="F284:F347" si="40">IF(B284=($D$5*12),D284-H284,0)</f>
        <v>0</v>
      </c>
      <c r="G284" s="235">
        <f t="shared" ref="G284:G347" si="41">$D$4/12*D284</f>
        <v>0</v>
      </c>
      <c r="H284" s="235">
        <f t="shared" ref="H284:H347" si="42">IF(B284&lt;($D$6*12+1),0,E284-G284)</f>
        <v>0</v>
      </c>
      <c r="I284" s="236">
        <f t="shared" ref="I284:I347" si="43">D284-H284-F284</f>
        <v>0</v>
      </c>
    </row>
    <row r="285" spans="2:9" x14ac:dyDescent="0.3">
      <c r="B285" s="233">
        <f t="shared" ref="B285:B348" si="44">B284+1</f>
        <v>259</v>
      </c>
      <c r="C285" s="234">
        <f t="shared" si="37"/>
        <v>22</v>
      </c>
      <c r="D285" s="235">
        <f t="shared" si="38"/>
        <v>0</v>
      </c>
      <c r="E285" s="235">
        <f t="shared" si="39"/>
        <v>0</v>
      </c>
      <c r="F285" s="235">
        <f t="shared" si="40"/>
        <v>0</v>
      </c>
      <c r="G285" s="235">
        <f t="shared" si="41"/>
        <v>0</v>
      </c>
      <c r="H285" s="235">
        <f t="shared" si="42"/>
        <v>0</v>
      </c>
      <c r="I285" s="236">
        <f t="shared" si="43"/>
        <v>0</v>
      </c>
    </row>
    <row r="286" spans="2:9" x14ac:dyDescent="0.3">
      <c r="B286" s="233">
        <f t="shared" si="44"/>
        <v>260</v>
      </c>
      <c r="C286" s="234">
        <f t="shared" si="37"/>
        <v>22</v>
      </c>
      <c r="D286" s="235">
        <f t="shared" si="38"/>
        <v>0</v>
      </c>
      <c r="E286" s="235">
        <f t="shared" si="39"/>
        <v>0</v>
      </c>
      <c r="F286" s="235">
        <f t="shared" si="40"/>
        <v>0</v>
      </c>
      <c r="G286" s="235">
        <f t="shared" si="41"/>
        <v>0</v>
      </c>
      <c r="H286" s="235">
        <f t="shared" si="42"/>
        <v>0</v>
      </c>
      <c r="I286" s="236">
        <f t="shared" si="43"/>
        <v>0</v>
      </c>
    </row>
    <row r="287" spans="2:9" x14ac:dyDescent="0.3">
      <c r="B287" s="233">
        <f t="shared" si="44"/>
        <v>261</v>
      </c>
      <c r="C287" s="234">
        <f t="shared" si="37"/>
        <v>22</v>
      </c>
      <c r="D287" s="235">
        <f t="shared" si="38"/>
        <v>0</v>
      </c>
      <c r="E287" s="235">
        <f t="shared" si="39"/>
        <v>0</v>
      </c>
      <c r="F287" s="235">
        <f t="shared" si="40"/>
        <v>0</v>
      </c>
      <c r="G287" s="235">
        <f t="shared" si="41"/>
        <v>0</v>
      </c>
      <c r="H287" s="235">
        <f t="shared" si="42"/>
        <v>0</v>
      </c>
      <c r="I287" s="236">
        <f t="shared" si="43"/>
        <v>0</v>
      </c>
    </row>
    <row r="288" spans="2:9" x14ac:dyDescent="0.3">
      <c r="B288" s="233">
        <f t="shared" si="44"/>
        <v>262</v>
      </c>
      <c r="C288" s="234">
        <f t="shared" si="37"/>
        <v>22</v>
      </c>
      <c r="D288" s="235">
        <f t="shared" si="38"/>
        <v>0</v>
      </c>
      <c r="E288" s="235">
        <f t="shared" si="39"/>
        <v>0</v>
      </c>
      <c r="F288" s="235">
        <f t="shared" si="40"/>
        <v>0</v>
      </c>
      <c r="G288" s="235">
        <f t="shared" si="41"/>
        <v>0</v>
      </c>
      <c r="H288" s="235">
        <f t="shared" si="42"/>
        <v>0</v>
      </c>
      <c r="I288" s="236">
        <f t="shared" si="43"/>
        <v>0</v>
      </c>
    </row>
    <row r="289" spans="2:9" x14ac:dyDescent="0.3">
      <c r="B289" s="233">
        <f t="shared" si="44"/>
        <v>263</v>
      </c>
      <c r="C289" s="234">
        <f t="shared" si="37"/>
        <v>22</v>
      </c>
      <c r="D289" s="235">
        <f t="shared" si="38"/>
        <v>0</v>
      </c>
      <c r="E289" s="235">
        <f t="shared" si="39"/>
        <v>0</v>
      </c>
      <c r="F289" s="235">
        <f t="shared" si="40"/>
        <v>0</v>
      </c>
      <c r="G289" s="235">
        <f t="shared" si="41"/>
        <v>0</v>
      </c>
      <c r="H289" s="235">
        <f t="shared" si="42"/>
        <v>0</v>
      </c>
      <c r="I289" s="236">
        <f t="shared" si="43"/>
        <v>0</v>
      </c>
    </row>
    <row r="290" spans="2:9" x14ac:dyDescent="0.3">
      <c r="B290" s="233">
        <f t="shared" si="44"/>
        <v>264</v>
      </c>
      <c r="C290" s="234">
        <f t="shared" si="37"/>
        <v>22</v>
      </c>
      <c r="D290" s="235">
        <f t="shared" si="38"/>
        <v>0</v>
      </c>
      <c r="E290" s="235">
        <f t="shared" si="39"/>
        <v>0</v>
      </c>
      <c r="F290" s="235">
        <f t="shared" si="40"/>
        <v>0</v>
      </c>
      <c r="G290" s="235">
        <f t="shared" si="41"/>
        <v>0</v>
      </c>
      <c r="H290" s="235">
        <f t="shared" si="42"/>
        <v>0</v>
      </c>
      <c r="I290" s="236">
        <f t="shared" si="43"/>
        <v>0</v>
      </c>
    </row>
    <row r="291" spans="2:9" x14ac:dyDescent="0.3">
      <c r="B291" s="233">
        <f t="shared" si="44"/>
        <v>265</v>
      </c>
      <c r="C291" s="234">
        <f t="shared" si="37"/>
        <v>23</v>
      </c>
      <c r="D291" s="235">
        <f t="shared" si="38"/>
        <v>0</v>
      </c>
      <c r="E291" s="235">
        <f t="shared" si="39"/>
        <v>0</v>
      </c>
      <c r="F291" s="235">
        <f t="shared" si="40"/>
        <v>0</v>
      </c>
      <c r="G291" s="235">
        <f t="shared" si="41"/>
        <v>0</v>
      </c>
      <c r="H291" s="235">
        <f t="shared" si="42"/>
        <v>0</v>
      </c>
      <c r="I291" s="236">
        <f t="shared" si="43"/>
        <v>0</v>
      </c>
    </row>
    <row r="292" spans="2:9" x14ac:dyDescent="0.3">
      <c r="B292" s="233">
        <f t="shared" si="44"/>
        <v>266</v>
      </c>
      <c r="C292" s="234">
        <f t="shared" si="37"/>
        <v>23</v>
      </c>
      <c r="D292" s="235">
        <f t="shared" si="38"/>
        <v>0</v>
      </c>
      <c r="E292" s="235">
        <f t="shared" si="39"/>
        <v>0</v>
      </c>
      <c r="F292" s="235">
        <f t="shared" si="40"/>
        <v>0</v>
      </c>
      <c r="G292" s="235">
        <f t="shared" si="41"/>
        <v>0</v>
      </c>
      <c r="H292" s="235">
        <f t="shared" si="42"/>
        <v>0</v>
      </c>
      <c r="I292" s="236">
        <f t="shared" si="43"/>
        <v>0</v>
      </c>
    </row>
    <row r="293" spans="2:9" x14ac:dyDescent="0.3">
      <c r="B293" s="233">
        <f t="shared" si="44"/>
        <v>267</v>
      </c>
      <c r="C293" s="234">
        <f t="shared" si="37"/>
        <v>23</v>
      </c>
      <c r="D293" s="235">
        <f t="shared" si="38"/>
        <v>0</v>
      </c>
      <c r="E293" s="235">
        <f t="shared" si="39"/>
        <v>0</v>
      </c>
      <c r="F293" s="235">
        <f t="shared" si="40"/>
        <v>0</v>
      </c>
      <c r="G293" s="235">
        <f t="shared" si="41"/>
        <v>0</v>
      </c>
      <c r="H293" s="235">
        <f t="shared" si="42"/>
        <v>0</v>
      </c>
      <c r="I293" s="236">
        <f t="shared" si="43"/>
        <v>0</v>
      </c>
    </row>
    <row r="294" spans="2:9" x14ac:dyDescent="0.3">
      <c r="B294" s="233">
        <f t="shared" si="44"/>
        <v>268</v>
      </c>
      <c r="C294" s="234">
        <f t="shared" si="37"/>
        <v>23</v>
      </c>
      <c r="D294" s="235">
        <f t="shared" si="38"/>
        <v>0</v>
      </c>
      <c r="E294" s="235">
        <f t="shared" si="39"/>
        <v>0</v>
      </c>
      <c r="F294" s="235">
        <f t="shared" si="40"/>
        <v>0</v>
      </c>
      <c r="G294" s="235">
        <f t="shared" si="41"/>
        <v>0</v>
      </c>
      <c r="H294" s="235">
        <f t="shared" si="42"/>
        <v>0</v>
      </c>
      <c r="I294" s="236">
        <f t="shared" si="43"/>
        <v>0</v>
      </c>
    </row>
    <row r="295" spans="2:9" x14ac:dyDescent="0.3">
      <c r="B295" s="233">
        <f t="shared" si="44"/>
        <v>269</v>
      </c>
      <c r="C295" s="234">
        <f t="shared" si="37"/>
        <v>23</v>
      </c>
      <c r="D295" s="235">
        <f t="shared" si="38"/>
        <v>0</v>
      </c>
      <c r="E295" s="235">
        <f t="shared" si="39"/>
        <v>0</v>
      </c>
      <c r="F295" s="235">
        <f t="shared" si="40"/>
        <v>0</v>
      </c>
      <c r="G295" s="235">
        <f t="shared" si="41"/>
        <v>0</v>
      </c>
      <c r="H295" s="235">
        <f t="shared" si="42"/>
        <v>0</v>
      </c>
      <c r="I295" s="236">
        <f t="shared" si="43"/>
        <v>0</v>
      </c>
    </row>
    <row r="296" spans="2:9" x14ac:dyDescent="0.3">
      <c r="B296" s="233">
        <f t="shared" si="44"/>
        <v>270</v>
      </c>
      <c r="C296" s="234">
        <f t="shared" ref="C296:C359" si="45">C284+1</f>
        <v>23</v>
      </c>
      <c r="D296" s="235">
        <f t="shared" si="38"/>
        <v>0</v>
      </c>
      <c r="E296" s="235">
        <f t="shared" si="39"/>
        <v>0</v>
      </c>
      <c r="F296" s="235">
        <f t="shared" si="40"/>
        <v>0</v>
      </c>
      <c r="G296" s="235">
        <f t="shared" si="41"/>
        <v>0</v>
      </c>
      <c r="H296" s="235">
        <f t="shared" si="42"/>
        <v>0</v>
      </c>
      <c r="I296" s="236">
        <f t="shared" si="43"/>
        <v>0</v>
      </c>
    </row>
    <row r="297" spans="2:9" x14ac:dyDescent="0.3">
      <c r="B297" s="233">
        <f t="shared" si="44"/>
        <v>271</v>
      </c>
      <c r="C297" s="234">
        <f t="shared" si="45"/>
        <v>23</v>
      </c>
      <c r="D297" s="235">
        <f t="shared" si="38"/>
        <v>0</v>
      </c>
      <c r="E297" s="235">
        <f t="shared" si="39"/>
        <v>0</v>
      </c>
      <c r="F297" s="235">
        <f t="shared" si="40"/>
        <v>0</v>
      </c>
      <c r="G297" s="235">
        <f t="shared" si="41"/>
        <v>0</v>
      </c>
      <c r="H297" s="235">
        <f t="shared" si="42"/>
        <v>0</v>
      </c>
      <c r="I297" s="236">
        <f t="shared" si="43"/>
        <v>0</v>
      </c>
    </row>
    <row r="298" spans="2:9" x14ac:dyDescent="0.3">
      <c r="B298" s="233">
        <f t="shared" si="44"/>
        <v>272</v>
      </c>
      <c r="C298" s="234">
        <f t="shared" si="45"/>
        <v>23</v>
      </c>
      <c r="D298" s="235">
        <f t="shared" si="38"/>
        <v>0</v>
      </c>
      <c r="E298" s="235">
        <f t="shared" si="39"/>
        <v>0</v>
      </c>
      <c r="F298" s="235">
        <f t="shared" si="40"/>
        <v>0</v>
      </c>
      <c r="G298" s="235">
        <f t="shared" si="41"/>
        <v>0</v>
      </c>
      <c r="H298" s="235">
        <f t="shared" si="42"/>
        <v>0</v>
      </c>
      <c r="I298" s="236">
        <f t="shared" si="43"/>
        <v>0</v>
      </c>
    </row>
    <row r="299" spans="2:9" x14ac:dyDescent="0.3">
      <c r="B299" s="233">
        <f t="shared" si="44"/>
        <v>273</v>
      </c>
      <c r="C299" s="234">
        <f t="shared" si="45"/>
        <v>23</v>
      </c>
      <c r="D299" s="235">
        <f t="shared" si="38"/>
        <v>0</v>
      </c>
      <c r="E299" s="235">
        <f t="shared" si="39"/>
        <v>0</v>
      </c>
      <c r="F299" s="235">
        <f t="shared" si="40"/>
        <v>0</v>
      </c>
      <c r="G299" s="235">
        <f t="shared" si="41"/>
        <v>0</v>
      </c>
      <c r="H299" s="235">
        <f t="shared" si="42"/>
        <v>0</v>
      </c>
      <c r="I299" s="236">
        <f t="shared" si="43"/>
        <v>0</v>
      </c>
    </row>
    <row r="300" spans="2:9" x14ac:dyDescent="0.3">
      <c r="B300" s="233">
        <f t="shared" si="44"/>
        <v>274</v>
      </c>
      <c r="C300" s="234">
        <f t="shared" si="45"/>
        <v>23</v>
      </c>
      <c r="D300" s="235">
        <f t="shared" si="38"/>
        <v>0</v>
      </c>
      <c r="E300" s="235">
        <f t="shared" si="39"/>
        <v>0</v>
      </c>
      <c r="F300" s="235">
        <f t="shared" si="40"/>
        <v>0</v>
      </c>
      <c r="G300" s="235">
        <f t="shared" si="41"/>
        <v>0</v>
      </c>
      <c r="H300" s="235">
        <f t="shared" si="42"/>
        <v>0</v>
      </c>
      <c r="I300" s="236">
        <f t="shared" si="43"/>
        <v>0</v>
      </c>
    </row>
    <row r="301" spans="2:9" x14ac:dyDescent="0.3">
      <c r="B301" s="233">
        <f t="shared" si="44"/>
        <v>275</v>
      </c>
      <c r="C301" s="234">
        <f t="shared" si="45"/>
        <v>23</v>
      </c>
      <c r="D301" s="235">
        <f t="shared" si="38"/>
        <v>0</v>
      </c>
      <c r="E301" s="235">
        <f t="shared" si="39"/>
        <v>0</v>
      </c>
      <c r="F301" s="235">
        <f t="shared" si="40"/>
        <v>0</v>
      </c>
      <c r="G301" s="235">
        <f t="shared" si="41"/>
        <v>0</v>
      </c>
      <c r="H301" s="235">
        <f t="shared" si="42"/>
        <v>0</v>
      </c>
      <c r="I301" s="236">
        <f t="shared" si="43"/>
        <v>0</v>
      </c>
    </row>
    <row r="302" spans="2:9" x14ac:dyDescent="0.3">
      <c r="B302" s="233">
        <f t="shared" si="44"/>
        <v>276</v>
      </c>
      <c r="C302" s="234">
        <f t="shared" si="45"/>
        <v>23</v>
      </c>
      <c r="D302" s="235">
        <f t="shared" si="38"/>
        <v>0</v>
      </c>
      <c r="E302" s="235">
        <f t="shared" si="39"/>
        <v>0</v>
      </c>
      <c r="F302" s="235">
        <f t="shared" si="40"/>
        <v>0</v>
      </c>
      <c r="G302" s="235">
        <f t="shared" si="41"/>
        <v>0</v>
      </c>
      <c r="H302" s="235">
        <f t="shared" si="42"/>
        <v>0</v>
      </c>
      <c r="I302" s="236">
        <f t="shared" si="43"/>
        <v>0</v>
      </c>
    </row>
    <row r="303" spans="2:9" x14ac:dyDescent="0.3">
      <c r="B303" s="233">
        <f t="shared" si="44"/>
        <v>277</v>
      </c>
      <c r="C303" s="234">
        <f t="shared" si="45"/>
        <v>24</v>
      </c>
      <c r="D303" s="235">
        <f t="shared" si="38"/>
        <v>0</v>
      </c>
      <c r="E303" s="235">
        <f t="shared" si="39"/>
        <v>0</v>
      </c>
      <c r="F303" s="235">
        <f t="shared" si="40"/>
        <v>0</v>
      </c>
      <c r="G303" s="235">
        <f t="shared" si="41"/>
        <v>0</v>
      </c>
      <c r="H303" s="235">
        <f t="shared" si="42"/>
        <v>0</v>
      </c>
      <c r="I303" s="236">
        <f t="shared" si="43"/>
        <v>0</v>
      </c>
    </row>
    <row r="304" spans="2:9" x14ac:dyDescent="0.3">
      <c r="B304" s="233">
        <f t="shared" si="44"/>
        <v>278</v>
      </c>
      <c r="C304" s="234">
        <f t="shared" si="45"/>
        <v>24</v>
      </c>
      <c r="D304" s="235">
        <f t="shared" si="38"/>
        <v>0</v>
      </c>
      <c r="E304" s="235">
        <f t="shared" si="39"/>
        <v>0</v>
      </c>
      <c r="F304" s="235">
        <f t="shared" si="40"/>
        <v>0</v>
      </c>
      <c r="G304" s="235">
        <f t="shared" si="41"/>
        <v>0</v>
      </c>
      <c r="H304" s="235">
        <f t="shared" si="42"/>
        <v>0</v>
      </c>
      <c r="I304" s="236">
        <f t="shared" si="43"/>
        <v>0</v>
      </c>
    </row>
    <row r="305" spans="2:9" x14ac:dyDescent="0.3">
      <c r="B305" s="233">
        <f t="shared" si="44"/>
        <v>279</v>
      </c>
      <c r="C305" s="234">
        <f t="shared" si="45"/>
        <v>24</v>
      </c>
      <c r="D305" s="235">
        <f t="shared" si="38"/>
        <v>0</v>
      </c>
      <c r="E305" s="235">
        <f t="shared" si="39"/>
        <v>0</v>
      </c>
      <c r="F305" s="235">
        <f t="shared" si="40"/>
        <v>0</v>
      </c>
      <c r="G305" s="235">
        <f t="shared" si="41"/>
        <v>0</v>
      </c>
      <c r="H305" s="235">
        <f t="shared" si="42"/>
        <v>0</v>
      </c>
      <c r="I305" s="236">
        <f t="shared" si="43"/>
        <v>0</v>
      </c>
    </row>
    <row r="306" spans="2:9" x14ac:dyDescent="0.3">
      <c r="B306" s="233">
        <f t="shared" si="44"/>
        <v>280</v>
      </c>
      <c r="C306" s="234">
        <f t="shared" si="45"/>
        <v>24</v>
      </c>
      <c r="D306" s="235">
        <f t="shared" si="38"/>
        <v>0</v>
      </c>
      <c r="E306" s="235">
        <f t="shared" si="39"/>
        <v>0</v>
      </c>
      <c r="F306" s="235">
        <f t="shared" si="40"/>
        <v>0</v>
      </c>
      <c r="G306" s="235">
        <f t="shared" si="41"/>
        <v>0</v>
      </c>
      <c r="H306" s="235">
        <f t="shared" si="42"/>
        <v>0</v>
      </c>
      <c r="I306" s="236">
        <f t="shared" si="43"/>
        <v>0</v>
      </c>
    </row>
    <row r="307" spans="2:9" x14ac:dyDescent="0.3">
      <c r="B307" s="233">
        <f t="shared" si="44"/>
        <v>281</v>
      </c>
      <c r="C307" s="234">
        <f t="shared" si="45"/>
        <v>24</v>
      </c>
      <c r="D307" s="235">
        <f t="shared" si="38"/>
        <v>0</v>
      </c>
      <c r="E307" s="235">
        <f t="shared" si="39"/>
        <v>0</v>
      </c>
      <c r="F307" s="235">
        <f t="shared" si="40"/>
        <v>0</v>
      </c>
      <c r="G307" s="235">
        <f t="shared" si="41"/>
        <v>0</v>
      </c>
      <c r="H307" s="235">
        <f t="shared" si="42"/>
        <v>0</v>
      </c>
      <c r="I307" s="236">
        <f t="shared" si="43"/>
        <v>0</v>
      </c>
    </row>
    <row r="308" spans="2:9" x14ac:dyDescent="0.3">
      <c r="B308" s="233">
        <f t="shared" si="44"/>
        <v>282</v>
      </c>
      <c r="C308" s="234">
        <f t="shared" si="45"/>
        <v>24</v>
      </c>
      <c r="D308" s="235">
        <f t="shared" si="38"/>
        <v>0</v>
      </c>
      <c r="E308" s="235">
        <f t="shared" si="39"/>
        <v>0</v>
      </c>
      <c r="F308" s="235">
        <f t="shared" si="40"/>
        <v>0</v>
      </c>
      <c r="G308" s="235">
        <f t="shared" si="41"/>
        <v>0</v>
      </c>
      <c r="H308" s="235">
        <f t="shared" si="42"/>
        <v>0</v>
      </c>
      <c r="I308" s="236">
        <f t="shared" si="43"/>
        <v>0</v>
      </c>
    </row>
    <row r="309" spans="2:9" x14ac:dyDescent="0.3">
      <c r="B309" s="233">
        <f t="shared" si="44"/>
        <v>283</v>
      </c>
      <c r="C309" s="234">
        <f t="shared" si="45"/>
        <v>24</v>
      </c>
      <c r="D309" s="235">
        <f t="shared" si="38"/>
        <v>0</v>
      </c>
      <c r="E309" s="235">
        <f t="shared" si="39"/>
        <v>0</v>
      </c>
      <c r="F309" s="235">
        <f t="shared" si="40"/>
        <v>0</v>
      </c>
      <c r="G309" s="235">
        <f t="shared" si="41"/>
        <v>0</v>
      </c>
      <c r="H309" s="235">
        <f t="shared" si="42"/>
        <v>0</v>
      </c>
      <c r="I309" s="236">
        <f t="shared" si="43"/>
        <v>0</v>
      </c>
    </row>
    <row r="310" spans="2:9" x14ac:dyDescent="0.3">
      <c r="B310" s="233">
        <f t="shared" si="44"/>
        <v>284</v>
      </c>
      <c r="C310" s="234">
        <f t="shared" si="45"/>
        <v>24</v>
      </c>
      <c r="D310" s="235">
        <f t="shared" si="38"/>
        <v>0</v>
      </c>
      <c r="E310" s="235">
        <f t="shared" si="39"/>
        <v>0</v>
      </c>
      <c r="F310" s="235">
        <f t="shared" si="40"/>
        <v>0</v>
      </c>
      <c r="G310" s="235">
        <f t="shared" si="41"/>
        <v>0</v>
      </c>
      <c r="H310" s="235">
        <f t="shared" si="42"/>
        <v>0</v>
      </c>
      <c r="I310" s="236">
        <f t="shared" si="43"/>
        <v>0</v>
      </c>
    </row>
    <row r="311" spans="2:9" x14ac:dyDescent="0.3">
      <c r="B311" s="233">
        <f t="shared" si="44"/>
        <v>285</v>
      </c>
      <c r="C311" s="234">
        <f t="shared" si="45"/>
        <v>24</v>
      </c>
      <c r="D311" s="235">
        <f t="shared" si="38"/>
        <v>0</v>
      </c>
      <c r="E311" s="235">
        <f t="shared" si="39"/>
        <v>0</v>
      </c>
      <c r="F311" s="235">
        <f t="shared" si="40"/>
        <v>0</v>
      </c>
      <c r="G311" s="235">
        <f t="shared" si="41"/>
        <v>0</v>
      </c>
      <c r="H311" s="235">
        <f t="shared" si="42"/>
        <v>0</v>
      </c>
      <c r="I311" s="236">
        <f t="shared" si="43"/>
        <v>0</v>
      </c>
    </row>
    <row r="312" spans="2:9" x14ac:dyDescent="0.3">
      <c r="B312" s="233">
        <f t="shared" si="44"/>
        <v>286</v>
      </c>
      <c r="C312" s="234">
        <f t="shared" si="45"/>
        <v>24</v>
      </c>
      <c r="D312" s="235">
        <f t="shared" si="38"/>
        <v>0</v>
      </c>
      <c r="E312" s="235">
        <f t="shared" si="39"/>
        <v>0</v>
      </c>
      <c r="F312" s="235">
        <f t="shared" si="40"/>
        <v>0</v>
      </c>
      <c r="G312" s="235">
        <f t="shared" si="41"/>
        <v>0</v>
      </c>
      <c r="H312" s="235">
        <f t="shared" si="42"/>
        <v>0</v>
      </c>
      <c r="I312" s="236">
        <f t="shared" si="43"/>
        <v>0</v>
      </c>
    </row>
    <row r="313" spans="2:9" x14ac:dyDescent="0.3">
      <c r="B313" s="233">
        <f t="shared" si="44"/>
        <v>287</v>
      </c>
      <c r="C313" s="234">
        <f t="shared" si="45"/>
        <v>24</v>
      </c>
      <c r="D313" s="235">
        <f t="shared" si="38"/>
        <v>0</v>
      </c>
      <c r="E313" s="235">
        <f t="shared" si="39"/>
        <v>0</v>
      </c>
      <c r="F313" s="235">
        <f t="shared" si="40"/>
        <v>0</v>
      </c>
      <c r="G313" s="235">
        <f t="shared" si="41"/>
        <v>0</v>
      </c>
      <c r="H313" s="235">
        <f t="shared" si="42"/>
        <v>0</v>
      </c>
      <c r="I313" s="236">
        <f t="shared" si="43"/>
        <v>0</v>
      </c>
    </row>
    <row r="314" spans="2:9" x14ac:dyDescent="0.3">
      <c r="B314" s="233">
        <f t="shared" si="44"/>
        <v>288</v>
      </c>
      <c r="C314" s="234">
        <f t="shared" si="45"/>
        <v>24</v>
      </c>
      <c r="D314" s="235">
        <f t="shared" si="38"/>
        <v>0</v>
      </c>
      <c r="E314" s="235">
        <f t="shared" si="39"/>
        <v>0</v>
      </c>
      <c r="F314" s="235">
        <f t="shared" si="40"/>
        <v>0</v>
      </c>
      <c r="G314" s="235">
        <f t="shared" si="41"/>
        <v>0</v>
      </c>
      <c r="H314" s="235">
        <f t="shared" si="42"/>
        <v>0</v>
      </c>
      <c r="I314" s="236">
        <f t="shared" si="43"/>
        <v>0</v>
      </c>
    </row>
    <row r="315" spans="2:9" x14ac:dyDescent="0.3">
      <c r="B315" s="233">
        <f t="shared" si="44"/>
        <v>289</v>
      </c>
      <c r="C315" s="234">
        <f t="shared" si="45"/>
        <v>25</v>
      </c>
      <c r="D315" s="235">
        <f t="shared" si="38"/>
        <v>0</v>
      </c>
      <c r="E315" s="235">
        <f t="shared" si="39"/>
        <v>0</v>
      </c>
      <c r="F315" s="235">
        <f t="shared" si="40"/>
        <v>0</v>
      </c>
      <c r="G315" s="235">
        <f t="shared" si="41"/>
        <v>0</v>
      </c>
      <c r="H315" s="235">
        <f t="shared" si="42"/>
        <v>0</v>
      </c>
      <c r="I315" s="236">
        <f t="shared" si="43"/>
        <v>0</v>
      </c>
    </row>
    <row r="316" spans="2:9" x14ac:dyDescent="0.3">
      <c r="B316" s="233">
        <f t="shared" si="44"/>
        <v>290</v>
      </c>
      <c r="C316" s="234">
        <f t="shared" si="45"/>
        <v>25</v>
      </c>
      <c r="D316" s="235">
        <f t="shared" si="38"/>
        <v>0</v>
      </c>
      <c r="E316" s="235">
        <f t="shared" si="39"/>
        <v>0</v>
      </c>
      <c r="F316" s="235">
        <f t="shared" si="40"/>
        <v>0</v>
      </c>
      <c r="G316" s="235">
        <f t="shared" si="41"/>
        <v>0</v>
      </c>
      <c r="H316" s="235">
        <f t="shared" si="42"/>
        <v>0</v>
      </c>
      <c r="I316" s="236">
        <f t="shared" si="43"/>
        <v>0</v>
      </c>
    </row>
    <row r="317" spans="2:9" x14ac:dyDescent="0.3">
      <c r="B317" s="233">
        <f t="shared" si="44"/>
        <v>291</v>
      </c>
      <c r="C317" s="234">
        <f t="shared" si="45"/>
        <v>25</v>
      </c>
      <c r="D317" s="235">
        <f t="shared" si="38"/>
        <v>0</v>
      </c>
      <c r="E317" s="235">
        <f t="shared" si="39"/>
        <v>0</v>
      </c>
      <c r="F317" s="235">
        <f t="shared" si="40"/>
        <v>0</v>
      </c>
      <c r="G317" s="235">
        <f t="shared" si="41"/>
        <v>0</v>
      </c>
      <c r="H317" s="235">
        <f t="shared" si="42"/>
        <v>0</v>
      </c>
      <c r="I317" s="236">
        <f t="shared" si="43"/>
        <v>0</v>
      </c>
    </row>
    <row r="318" spans="2:9" x14ac:dyDescent="0.3">
      <c r="B318" s="233">
        <f t="shared" si="44"/>
        <v>292</v>
      </c>
      <c r="C318" s="234">
        <f t="shared" si="45"/>
        <v>25</v>
      </c>
      <c r="D318" s="235">
        <f t="shared" si="38"/>
        <v>0</v>
      </c>
      <c r="E318" s="235">
        <f t="shared" si="39"/>
        <v>0</v>
      </c>
      <c r="F318" s="235">
        <f t="shared" si="40"/>
        <v>0</v>
      </c>
      <c r="G318" s="235">
        <f t="shared" si="41"/>
        <v>0</v>
      </c>
      <c r="H318" s="235">
        <f t="shared" si="42"/>
        <v>0</v>
      </c>
      <c r="I318" s="236">
        <f t="shared" si="43"/>
        <v>0</v>
      </c>
    </row>
    <row r="319" spans="2:9" x14ac:dyDescent="0.3">
      <c r="B319" s="233">
        <f t="shared" si="44"/>
        <v>293</v>
      </c>
      <c r="C319" s="234">
        <f t="shared" si="45"/>
        <v>25</v>
      </c>
      <c r="D319" s="235">
        <f t="shared" si="38"/>
        <v>0</v>
      </c>
      <c r="E319" s="235">
        <f t="shared" si="39"/>
        <v>0</v>
      </c>
      <c r="F319" s="235">
        <f t="shared" si="40"/>
        <v>0</v>
      </c>
      <c r="G319" s="235">
        <f t="shared" si="41"/>
        <v>0</v>
      </c>
      <c r="H319" s="235">
        <f t="shared" si="42"/>
        <v>0</v>
      </c>
      <c r="I319" s="236">
        <f t="shared" si="43"/>
        <v>0</v>
      </c>
    </row>
    <row r="320" spans="2:9" x14ac:dyDescent="0.3">
      <c r="B320" s="233">
        <f t="shared" si="44"/>
        <v>294</v>
      </c>
      <c r="C320" s="234">
        <f t="shared" si="45"/>
        <v>25</v>
      </c>
      <c r="D320" s="235">
        <f t="shared" si="38"/>
        <v>0</v>
      </c>
      <c r="E320" s="235">
        <f t="shared" si="39"/>
        <v>0</v>
      </c>
      <c r="F320" s="235">
        <f t="shared" si="40"/>
        <v>0</v>
      </c>
      <c r="G320" s="235">
        <f t="shared" si="41"/>
        <v>0</v>
      </c>
      <c r="H320" s="235">
        <f t="shared" si="42"/>
        <v>0</v>
      </c>
      <c r="I320" s="236">
        <f t="shared" si="43"/>
        <v>0</v>
      </c>
    </row>
    <row r="321" spans="2:9" x14ac:dyDescent="0.3">
      <c r="B321" s="233">
        <f t="shared" si="44"/>
        <v>295</v>
      </c>
      <c r="C321" s="234">
        <f t="shared" si="45"/>
        <v>25</v>
      </c>
      <c r="D321" s="235">
        <f t="shared" si="38"/>
        <v>0</v>
      </c>
      <c r="E321" s="235">
        <f t="shared" si="39"/>
        <v>0</v>
      </c>
      <c r="F321" s="235">
        <f t="shared" si="40"/>
        <v>0</v>
      </c>
      <c r="G321" s="235">
        <f t="shared" si="41"/>
        <v>0</v>
      </c>
      <c r="H321" s="235">
        <f t="shared" si="42"/>
        <v>0</v>
      </c>
      <c r="I321" s="236">
        <f t="shared" si="43"/>
        <v>0</v>
      </c>
    </row>
    <row r="322" spans="2:9" x14ac:dyDescent="0.3">
      <c r="B322" s="233">
        <f t="shared" si="44"/>
        <v>296</v>
      </c>
      <c r="C322" s="234">
        <f t="shared" si="45"/>
        <v>25</v>
      </c>
      <c r="D322" s="235">
        <f t="shared" si="38"/>
        <v>0</v>
      </c>
      <c r="E322" s="235">
        <f t="shared" si="39"/>
        <v>0</v>
      </c>
      <c r="F322" s="235">
        <f t="shared" si="40"/>
        <v>0</v>
      </c>
      <c r="G322" s="235">
        <f t="shared" si="41"/>
        <v>0</v>
      </c>
      <c r="H322" s="235">
        <f t="shared" si="42"/>
        <v>0</v>
      </c>
      <c r="I322" s="236">
        <f t="shared" si="43"/>
        <v>0</v>
      </c>
    </row>
    <row r="323" spans="2:9" x14ac:dyDescent="0.3">
      <c r="B323" s="233">
        <f t="shared" si="44"/>
        <v>297</v>
      </c>
      <c r="C323" s="234">
        <f t="shared" si="45"/>
        <v>25</v>
      </c>
      <c r="D323" s="235">
        <f t="shared" si="38"/>
        <v>0</v>
      </c>
      <c r="E323" s="235">
        <f t="shared" si="39"/>
        <v>0</v>
      </c>
      <c r="F323" s="235">
        <f t="shared" si="40"/>
        <v>0</v>
      </c>
      <c r="G323" s="235">
        <f t="shared" si="41"/>
        <v>0</v>
      </c>
      <c r="H323" s="235">
        <f t="shared" si="42"/>
        <v>0</v>
      </c>
      <c r="I323" s="236">
        <f t="shared" si="43"/>
        <v>0</v>
      </c>
    </row>
    <row r="324" spans="2:9" x14ac:dyDescent="0.3">
      <c r="B324" s="233">
        <f t="shared" si="44"/>
        <v>298</v>
      </c>
      <c r="C324" s="234">
        <f t="shared" si="45"/>
        <v>25</v>
      </c>
      <c r="D324" s="235">
        <f t="shared" si="38"/>
        <v>0</v>
      </c>
      <c r="E324" s="235">
        <f t="shared" si="39"/>
        <v>0</v>
      </c>
      <c r="F324" s="235">
        <f t="shared" si="40"/>
        <v>0</v>
      </c>
      <c r="G324" s="235">
        <f t="shared" si="41"/>
        <v>0</v>
      </c>
      <c r="H324" s="235">
        <f t="shared" si="42"/>
        <v>0</v>
      </c>
      <c r="I324" s="236">
        <f t="shared" si="43"/>
        <v>0</v>
      </c>
    </row>
    <row r="325" spans="2:9" x14ac:dyDescent="0.3">
      <c r="B325" s="233">
        <f t="shared" si="44"/>
        <v>299</v>
      </c>
      <c r="C325" s="234">
        <f t="shared" si="45"/>
        <v>25</v>
      </c>
      <c r="D325" s="235">
        <f t="shared" si="38"/>
        <v>0</v>
      </c>
      <c r="E325" s="235">
        <f t="shared" si="39"/>
        <v>0</v>
      </c>
      <c r="F325" s="235">
        <f t="shared" si="40"/>
        <v>0</v>
      </c>
      <c r="G325" s="235">
        <f t="shared" si="41"/>
        <v>0</v>
      </c>
      <c r="H325" s="235">
        <f t="shared" si="42"/>
        <v>0</v>
      </c>
      <c r="I325" s="236">
        <f t="shared" si="43"/>
        <v>0</v>
      </c>
    </row>
    <row r="326" spans="2:9" x14ac:dyDescent="0.3">
      <c r="B326" s="233">
        <f t="shared" si="44"/>
        <v>300</v>
      </c>
      <c r="C326" s="234">
        <f t="shared" si="45"/>
        <v>25</v>
      </c>
      <c r="D326" s="235">
        <f t="shared" si="38"/>
        <v>0</v>
      </c>
      <c r="E326" s="235">
        <f t="shared" si="39"/>
        <v>0</v>
      </c>
      <c r="F326" s="235">
        <f t="shared" si="40"/>
        <v>0</v>
      </c>
      <c r="G326" s="235">
        <f t="shared" si="41"/>
        <v>0</v>
      </c>
      <c r="H326" s="235">
        <f t="shared" si="42"/>
        <v>0</v>
      </c>
      <c r="I326" s="236">
        <f t="shared" si="43"/>
        <v>0</v>
      </c>
    </row>
    <row r="327" spans="2:9" x14ac:dyDescent="0.3">
      <c r="B327" s="233">
        <f t="shared" si="44"/>
        <v>301</v>
      </c>
      <c r="C327" s="234">
        <f t="shared" si="45"/>
        <v>26</v>
      </c>
      <c r="D327" s="235">
        <f t="shared" si="38"/>
        <v>0</v>
      </c>
      <c r="E327" s="235">
        <f t="shared" si="39"/>
        <v>0</v>
      </c>
      <c r="F327" s="235">
        <f t="shared" si="40"/>
        <v>0</v>
      </c>
      <c r="G327" s="235">
        <f t="shared" si="41"/>
        <v>0</v>
      </c>
      <c r="H327" s="235">
        <f t="shared" si="42"/>
        <v>0</v>
      </c>
      <c r="I327" s="236">
        <f t="shared" si="43"/>
        <v>0</v>
      </c>
    </row>
    <row r="328" spans="2:9" x14ac:dyDescent="0.3">
      <c r="B328" s="233">
        <f t="shared" si="44"/>
        <v>302</v>
      </c>
      <c r="C328" s="234">
        <f t="shared" si="45"/>
        <v>26</v>
      </c>
      <c r="D328" s="235">
        <f t="shared" si="38"/>
        <v>0</v>
      </c>
      <c r="E328" s="235">
        <f t="shared" si="39"/>
        <v>0</v>
      </c>
      <c r="F328" s="235">
        <f t="shared" si="40"/>
        <v>0</v>
      </c>
      <c r="G328" s="235">
        <f t="shared" si="41"/>
        <v>0</v>
      </c>
      <c r="H328" s="235">
        <f t="shared" si="42"/>
        <v>0</v>
      </c>
      <c r="I328" s="236">
        <f t="shared" si="43"/>
        <v>0</v>
      </c>
    </row>
    <row r="329" spans="2:9" x14ac:dyDescent="0.3">
      <c r="B329" s="233">
        <f t="shared" si="44"/>
        <v>303</v>
      </c>
      <c r="C329" s="234">
        <f t="shared" si="45"/>
        <v>26</v>
      </c>
      <c r="D329" s="235">
        <f t="shared" si="38"/>
        <v>0</v>
      </c>
      <c r="E329" s="235">
        <f t="shared" si="39"/>
        <v>0</v>
      </c>
      <c r="F329" s="235">
        <f t="shared" si="40"/>
        <v>0</v>
      </c>
      <c r="G329" s="235">
        <f t="shared" si="41"/>
        <v>0</v>
      </c>
      <c r="H329" s="235">
        <f t="shared" si="42"/>
        <v>0</v>
      </c>
      <c r="I329" s="236">
        <f t="shared" si="43"/>
        <v>0</v>
      </c>
    </row>
    <row r="330" spans="2:9" x14ac:dyDescent="0.3">
      <c r="B330" s="233">
        <f t="shared" si="44"/>
        <v>304</v>
      </c>
      <c r="C330" s="234">
        <f t="shared" si="45"/>
        <v>26</v>
      </c>
      <c r="D330" s="235">
        <f t="shared" si="38"/>
        <v>0</v>
      </c>
      <c r="E330" s="235">
        <f t="shared" si="39"/>
        <v>0</v>
      </c>
      <c r="F330" s="235">
        <f t="shared" si="40"/>
        <v>0</v>
      </c>
      <c r="G330" s="235">
        <f t="shared" si="41"/>
        <v>0</v>
      </c>
      <c r="H330" s="235">
        <f t="shared" si="42"/>
        <v>0</v>
      </c>
      <c r="I330" s="236">
        <f t="shared" si="43"/>
        <v>0</v>
      </c>
    </row>
    <row r="331" spans="2:9" x14ac:dyDescent="0.3">
      <c r="B331" s="233">
        <f t="shared" si="44"/>
        <v>305</v>
      </c>
      <c r="C331" s="234">
        <f t="shared" si="45"/>
        <v>26</v>
      </c>
      <c r="D331" s="235">
        <f t="shared" si="38"/>
        <v>0</v>
      </c>
      <c r="E331" s="235">
        <f t="shared" si="39"/>
        <v>0</v>
      </c>
      <c r="F331" s="235">
        <f t="shared" si="40"/>
        <v>0</v>
      </c>
      <c r="G331" s="235">
        <f t="shared" si="41"/>
        <v>0</v>
      </c>
      <c r="H331" s="235">
        <f t="shared" si="42"/>
        <v>0</v>
      </c>
      <c r="I331" s="236">
        <f t="shared" si="43"/>
        <v>0</v>
      </c>
    </row>
    <row r="332" spans="2:9" x14ac:dyDescent="0.3">
      <c r="B332" s="233">
        <f t="shared" si="44"/>
        <v>306</v>
      </c>
      <c r="C332" s="234">
        <f t="shared" si="45"/>
        <v>26</v>
      </c>
      <c r="D332" s="235">
        <f t="shared" si="38"/>
        <v>0</v>
      </c>
      <c r="E332" s="235">
        <f t="shared" si="39"/>
        <v>0</v>
      </c>
      <c r="F332" s="235">
        <f t="shared" si="40"/>
        <v>0</v>
      </c>
      <c r="G332" s="235">
        <f t="shared" si="41"/>
        <v>0</v>
      </c>
      <c r="H332" s="235">
        <f t="shared" si="42"/>
        <v>0</v>
      </c>
      <c r="I332" s="236">
        <f t="shared" si="43"/>
        <v>0</v>
      </c>
    </row>
    <row r="333" spans="2:9" x14ac:dyDescent="0.3">
      <c r="B333" s="233">
        <f t="shared" si="44"/>
        <v>307</v>
      </c>
      <c r="C333" s="234">
        <f t="shared" si="45"/>
        <v>26</v>
      </c>
      <c r="D333" s="235">
        <f t="shared" si="38"/>
        <v>0</v>
      </c>
      <c r="E333" s="235">
        <f t="shared" si="39"/>
        <v>0</v>
      </c>
      <c r="F333" s="235">
        <f t="shared" si="40"/>
        <v>0</v>
      </c>
      <c r="G333" s="235">
        <f t="shared" si="41"/>
        <v>0</v>
      </c>
      <c r="H333" s="235">
        <f t="shared" si="42"/>
        <v>0</v>
      </c>
      <c r="I333" s="236">
        <f t="shared" si="43"/>
        <v>0</v>
      </c>
    </row>
    <row r="334" spans="2:9" x14ac:dyDescent="0.3">
      <c r="B334" s="233">
        <f t="shared" si="44"/>
        <v>308</v>
      </c>
      <c r="C334" s="234">
        <f t="shared" si="45"/>
        <v>26</v>
      </c>
      <c r="D334" s="235">
        <f t="shared" si="38"/>
        <v>0</v>
      </c>
      <c r="E334" s="235">
        <f t="shared" si="39"/>
        <v>0</v>
      </c>
      <c r="F334" s="235">
        <f t="shared" si="40"/>
        <v>0</v>
      </c>
      <c r="G334" s="235">
        <f t="shared" si="41"/>
        <v>0</v>
      </c>
      <c r="H334" s="235">
        <f t="shared" si="42"/>
        <v>0</v>
      </c>
      <c r="I334" s="236">
        <f t="shared" si="43"/>
        <v>0</v>
      </c>
    </row>
    <row r="335" spans="2:9" x14ac:dyDescent="0.3">
      <c r="B335" s="233">
        <f t="shared" si="44"/>
        <v>309</v>
      </c>
      <c r="C335" s="234">
        <f t="shared" si="45"/>
        <v>26</v>
      </c>
      <c r="D335" s="235">
        <f t="shared" si="38"/>
        <v>0</v>
      </c>
      <c r="E335" s="235">
        <f t="shared" si="39"/>
        <v>0</v>
      </c>
      <c r="F335" s="235">
        <f t="shared" si="40"/>
        <v>0</v>
      </c>
      <c r="G335" s="235">
        <f t="shared" si="41"/>
        <v>0</v>
      </c>
      <c r="H335" s="235">
        <f t="shared" si="42"/>
        <v>0</v>
      </c>
      <c r="I335" s="236">
        <f t="shared" si="43"/>
        <v>0</v>
      </c>
    </row>
    <row r="336" spans="2:9" x14ac:dyDescent="0.3">
      <c r="B336" s="233">
        <f t="shared" si="44"/>
        <v>310</v>
      </c>
      <c r="C336" s="234">
        <f t="shared" si="45"/>
        <v>26</v>
      </c>
      <c r="D336" s="235">
        <f t="shared" si="38"/>
        <v>0</v>
      </c>
      <c r="E336" s="235">
        <f t="shared" si="39"/>
        <v>0</v>
      </c>
      <c r="F336" s="235">
        <f t="shared" si="40"/>
        <v>0</v>
      </c>
      <c r="G336" s="235">
        <f t="shared" si="41"/>
        <v>0</v>
      </c>
      <c r="H336" s="235">
        <f t="shared" si="42"/>
        <v>0</v>
      </c>
      <c r="I336" s="236">
        <f t="shared" si="43"/>
        <v>0</v>
      </c>
    </row>
    <row r="337" spans="2:9" x14ac:dyDescent="0.3">
      <c r="B337" s="233">
        <f t="shared" si="44"/>
        <v>311</v>
      </c>
      <c r="C337" s="234">
        <f t="shared" si="45"/>
        <v>26</v>
      </c>
      <c r="D337" s="235">
        <f t="shared" si="38"/>
        <v>0</v>
      </c>
      <c r="E337" s="235">
        <f t="shared" si="39"/>
        <v>0</v>
      </c>
      <c r="F337" s="235">
        <f t="shared" si="40"/>
        <v>0</v>
      </c>
      <c r="G337" s="235">
        <f t="shared" si="41"/>
        <v>0</v>
      </c>
      <c r="H337" s="235">
        <f t="shared" si="42"/>
        <v>0</v>
      </c>
      <c r="I337" s="236">
        <f t="shared" si="43"/>
        <v>0</v>
      </c>
    </row>
    <row r="338" spans="2:9" x14ac:dyDescent="0.3">
      <c r="B338" s="233">
        <f t="shared" si="44"/>
        <v>312</v>
      </c>
      <c r="C338" s="234">
        <f t="shared" si="45"/>
        <v>26</v>
      </c>
      <c r="D338" s="235">
        <f t="shared" si="38"/>
        <v>0</v>
      </c>
      <c r="E338" s="235">
        <f t="shared" si="39"/>
        <v>0</v>
      </c>
      <c r="F338" s="235">
        <f t="shared" si="40"/>
        <v>0</v>
      </c>
      <c r="G338" s="235">
        <f t="shared" si="41"/>
        <v>0</v>
      </c>
      <c r="H338" s="235">
        <f t="shared" si="42"/>
        <v>0</v>
      </c>
      <c r="I338" s="236">
        <f t="shared" si="43"/>
        <v>0</v>
      </c>
    </row>
    <row r="339" spans="2:9" x14ac:dyDescent="0.3">
      <c r="B339" s="233">
        <f t="shared" si="44"/>
        <v>313</v>
      </c>
      <c r="C339" s="234">
        <f t="shared" si="45"/>
        <v>27</v>
      </c>
      <c r="D339" s="235">
        <f t="shared" si="38"/>
        <v>0</v>
      </c>
      <c r="E339" s="235">
        <f t="shared" si="39"/>
        <v>0</v>
      </c>
      <c r="F339" s="235">
        <f t="shared" si="40"/>
        <v>0</v>
      </c>
      <c r="G339" s="235">
        <f t="shared" si="41"/>
        <v>0</v>
      </c>
      <c r="H339" s="235">
        <f t="shared" si="42"/>
        <v>0</v>
      </c>
      <c r="I339" s="236">
        <f t="shared" si="43"/>
        <v>0</v>
      </c>
    </row>
    <row r="340" spans="2:9" x14ac:dyDescent="0.3">
      <c r="B340" s="233">
        <f t="shared" si="44"/>
        <v>314</v>
      </c>
      <c r="C340" s="234">
        <f t="shared" si="45"/>
        <v>27</v>
      </c>
      <c r="D340" s="235">
        <f t="shared" si="38"/>
        <v>0</v>
      </c>
      <c r="E340" s="235">
        <f t="shared" si="39"/>
        <v>0</v>
      </c>
      <c r="F340" s="235">
        <f t="shared" si="40"/>
        <v>0</v>
      </c>
      <c r="G340" s="235">
        <f t="shared" si="41"/>
        <v>0</v>
      </c>
      <c r="H340" s="235">
        <f t="shared" si="42"/>
        <v>0</v>
      </c>
      <c r="I340" s="236">
        <f t="shared" si="43"/>
        <v>0</v>
      </c>
    </row>
    <row r="341" spans="2:9" x14ac:dyDescent="0.3">
      <c r="B341" s="233">
        <f t="shared" si="44"/>
        <v>315</v>
      </c>
      <c r="C341" s="234">
        <f t="shared" si="45"/>
        <v>27</v>
      </c>
      <c r="D341" s="235">
        <f t="shared" si="38"/>
        <v>0</v>
      </c>
      <c r="E341" s="235">
        <f t="shared" si="39"/>
        <v>0</v>
      </c>
      <c r="F341" s="235">
        <f t="shared" si="40"/>
        <v>0</v>
      </c>
      <c r="G341" s="235">
        <f t="shared" si="41"/>
        <v>0</v>
      </c>
      <c r="H341" s="235">
        <f t="shared" si="42"/>
        <v>0</v>
      </c>
      <c r="I341" s="236">
        <f t="shared" si="43"/>
        <v>0</v>
      </c>
    </row>
    <row r="342" spans="2:9" x14ac:dyDescent="0.3">
      <c r="B342" s="233">
        <f t="shared" si="44"/>
        <v>316</v>
      </c>
      <c r="C342" s="234">
        <f t="shared" si="45"/>
        <v>27</v>
      </c>
      <c r="D342" s="235">
        <f t="shared" si="38"/>
        <v>0</v>
      </c>
      <c r="E342" s="235">
        <f t="shared" si="39"/>
        <v>0</v>
      </c>
      <c r="F342" s="235">
        <f t="shared" si="40"/>
        <v>0</v>
      </c>
      <c r="G342" s="235">
        <f t="shared" si="41"/>
        <v>0</v>
      </c>
      <c r="H342" s="235">
        <f t="shared" si="42"/>
        <v>0</v>
      </c>
      <c r="I342" s="236">
        <f t="shared" si="43"/>
        <v>0</v>
      </c>
    </row>
    <row r="343" spans="2:9" x14ac:dyDescent="0.3">
      <c r="B343" s="233">
        <f t="shared" si="44"/>
        <v>317</v>
      </c>
      <c r="C343" s="234">
        <f t="shared" si="45"/>
        <v>27</v>
      </c>
      <c r="D343" s="235">
        <f t="shared" si="38"/>
        <v>0</v>
      </c>
      <c r="E343" s="235">
        <f t="shared" si="39"/>
        <v>0</v>
      </c>
      <c r="F343" s="235">
        <f t="shared" si="40"/>
        <v>0</v>
      </c>
      <c r="G343" s="235">
        <f t="shared" si="41"/>
        <v>0</v>
      </c>
      <c r="H343" s="235">
        <f t="shared" si="42"/>
        <v>0</v>
      </c>
      <c r="I343" s="236">
        <f t="shared" si="43"/>
        <v>0</v>
      </c>
    </row>
    <row r="344" spans="2:9" x14ac:dyDescent="0.3">
      <c r="B344" s="233">
        <f t="shared" si="44"/>
        <v>318</v>
      </c>
      <c r="C344" s="234">
        <f t="shared" si="45"/>
        <v>27</v>
      </c>
      <c r="D344" s="235">
        <f t="shared" si="38"/>
        <v>0</v>
      </c>
      <c r="E344" s="235">
        <f t="shared" si="39"/>
        <v>0</v>
      </c>
      <c r="F344" s="235">
        <f t="shared" si="40"/>
        <v>0</v>
      </c>
      <c r="G344" s="235">
        <f t="shared" si="41"/>
        <v>0</v>
      </c>
      <c r="H344" s="235">
        <f t="shared" si="42"/>
        <v>0</v>
      </c>
      <c r="I344" s="236">
        <f t="shared" si="43"/>
        <v>0</v>
      </c>
    </row>
    <row r="345" spans="2:9" x14ac:dyDescent="0.3">
      <c r="B345" s="233">
        <f t="shared" si="44"/>
        <v>319</v>
      </c>
      <c r="C345" s="234">
        <f t="shared" si="45"/>
        <v>27</v>
      </c>
      <c r="D345" s="235">
        <f t="shared" si="38"/>
        <v>0</v>
      </c>
      <c r="E345" s="235">
        <f t="shared" si="39"/>
        <v>0</v>
      </c>
      <c r="F345" s="235">
        <f t="shared" si="40"/>
        <v>0</v>
      </c>
      <c r="G345" s="235">
        <f t="shared" si="41"/>
        <v>0</v>
      </c>
      <c r="H345" s="235">
        <f t="shared" si="42"/>
        <v>0</v>
      </c>
      <c r="I345" s="236">
        <f t="shared" si="43"/>
        <v>0</v>
      </c>
    </row>
    <row r="346" spans="2:9" x14ac:dyDescent="0.3">
      <c r="B346" s="233">
        <f t="shared" si="44"/>
        <v>320</v>
      </c>
      <c r="C346" s="234">
        <f t="shared" si="45"/>
        <v>27</v>
      </c>
      <c r="D346" s="235">
        <f t="shared" si="38"/>
        <v>0</v>
      </c>
      <c r="E346" s="235">
        <f t="shared" si="39"/>
        <v>0</v>
      </c>
      <c r="F346" s="235">
        <f t="shared" si="40"/>
        <v>0</v>
      </c>
      <c r="G346" s="235">
        <f t="shared" si="41"/>
        <v>0</v>
      </c>
      <c r="H346" s="235">
        <f t="shared" si="42"/>
        <v>0</v>
      </c>
      <c r="I346" s="236">
        <f t="shared" si="43"/>
        <v>0</v>
      </c>
    </row>
    <row r="347" spans="2:9" x14ac:dyDescent="0.3">
      <c r="B347" s="233">
        <f t="shared" si="44"/>
        <v>321</v>
      </c>
      <c r="C347" s="234">
        <f t="shared" si="45"/>
        <v>27</v>
      </c>
      <c r="D347" s="235">
        <f t="shared" si="38"/>
        <v>0</v>
      </c>
      <c r="E347" s="235">
        <f t="shared" si="39"/>
        <v>0</v>
      </c>
      <c r="F347" s="235">
        <f t="shared" si="40"/>
        <v>0</v>
      </c>
      <c r="G347" s="235">
        <f t="shared" si="41"/>
        <v>0</v>
      </c>
      <c r="H347" s="235">
        <f t="shared" si="42"/>
        <v>0</v>
      </c>
      <c r="I347" s="236">
        <f t="shared" si="43"/>
        <v>0</v>
      </c>
    </row>
    <row r="348" spans="2:9" x14ac:dyDescent="0.3">
      <c r="B348" s="233">
        <f t="shared" si="44"/>
        <v>322</v>
      </c>
      <c r="C348" s="234">
        <f t="shared" si="45"/>
        <v>27</v>
      </c>
      <c r="D348" s="235">
        <f t="shared" ref="D348:D386" si="46">I347</f>
        <v>0</v>
      </c>
      <c r="E348" s="235">
        <f t="shared" ref="E348:E386" si="47">IF(B348&gt;($D$5*12),0,IF(B348&lt;$D$6*12+1,D348*($D$4/12),$D$8))</f>
        <v>0</v>
      </c>
      <c r="F348" s="235">
        <f t="shared" ref="F348:F386" si="48">IF(B348=($D$5*12),D348-H348,0)</f>
        <v>0</v>
      </c>
      <c r="G348" s="235">
        <f t="shared" ref="G348:G386" si="49">$D$4/12*D348</f>
        <v>0</v>
      </c>
      <c r="H348" s="235">
        <f t="shared" ref="H348:H386" si="50">IF(B348&lt;($D$6*12+1),0,E348-G348)</f>
        <v>0</v>
      </c>
      <c r="I348" s="236">
        <f t="shared" ref="I348:I386" si="51">D348-H348-F348</f>
        <v>0</v>
      </c>
    </row>
    <row r="349" spans="2:9" x14ac:dyDescent="0.3">
      <c r="B349" s="233">
        <f t="shared" ref="B349:B386" si="52">B348+1</f>
        <v>323</v>
      </c>
      <c r="C349" s="234">
        <f t="shared" si="45"/>
        <v>27</v>
      </c>
      <c r="D349" s="235">
        <f t="shared" si="46"/>
        <v>0</v>
      </c>
      <c r="E349" s="235">
        <f t="shared" si="47"/>
        <v>0</v>
      </c>
      <c r="F349" s="235">
        <f t="shared" si="48"/>
        <v>0</v>
      </c>
      <c r="G349" s="235">
        <f t="shared" si="49"/>
        <v>0</v>
      </c>
      <c r="H349" s="235">
        <f t="shared" si="50"/>
        <v>0</v>
      </c>
      <c r="I349" s="236">
        <f t="shared" si="51"/>
        <v>0</v>
      </c>
    </row>
    <row r="350" spans="2:9" x14ac:dyDescent="0.3">
      <c r="B350" s="233">
        <f t="shared" si="52"/>
        <v>324</v>
      </c>
      <c r="C350" s="234">
        <f t="shared" si="45"/>
        <v>27</v>
      </c>
      <c r="D350" s="235">
        <f t="shared" si="46"/>
        <v>0</v>
      </c>
      <c r="E350" s="235">
        <f t="shared" si="47"/>
        <v>0</v>
      </c>
      <c r="F350" s="235">
        <f t="shared" si="48"/>
        <v>0</v>
      </c>
      <c r="G350" s="235">
        <f t="shared" si="49"/>
        <v>0</v>
      </c>
      <c r="H350" s="235">
        <f t="shared" si="50"/>
        <v>0</v>
      </c>
      <c r="I350" s="236">
        <f t="shared" si="51"/>
        <v>0</v>
      </c>
    </row>
    <row r="351" spans="2:9" x14ac:dyDescent="0.3">
      <c r="B351" s="233">
        <f t="shared" si="52"/>
        <v>325</v>
      </c>
      <c r="C351" s="234">
        <f t="shared" si="45"/>
        <v>28</v>
      </c>
      <c r="D351" s="235">
        <f t="shared" si="46"/>
        <v>0</v>
      </c>
      <c r="E351" s="235">
        <f t="shared" si="47"/>
        <v>0</v>
      </c>
      <c r="F351" s="235">
        <f t="shared" si="48"/>
        <v>0</v>
      </c>
      <c r="G351" s="235">
        <f t="shared" si="49"/>
        <v>0</v>
      </c>
      <c r="H351" s="235">
        <f t="shared" si="50"/>
        <v>0</v>
      </c>
      <c r="I351" s="236">
        <f t="shared" si="51"/>
        <v>0</v>
      </c>
    </row>
    <row r="352" spans="2:9" x14ac:dyDescent="0.3">
      <c r="B352" s="233">
        <f t="shared" si="52"/>
        <v>326</v>
      </c>
      <c r="C352" s="234">
        <f t="shared" si="45"/>
        <v>28</v>
      </c>
      <c r="D352" s="235">
        <f t="shared" si="46"/>
        <v>0</v>
      </c>
      <c r="E352" s="235">
        <f t="shared" si="47"/>
        <v>0</v>
      </c>
      <c r="F352" s="235">
        <f t="shared" si="48"/>
        <v>0</v>
      </c>
      <c r="G352" s="235">
        <f t="shared" si="49"/>
        <v>0</v>
      </c>
      <c r="H352" s="235">
        <f t="shared" si="50"/>
        <v>0</v>
      </c>
      <c r="I352" s="236">
        <f t="shared" si="51"/>
        <v>0</v>
      </c>
    </row>
    <row r="353" spans="2:9" x14ac:dyDescent="0.3">
      <c r="B353" s="233">
        <f t="shared" si="52"/>
        <v>327</v>
      </c>
      <c r="C353" s="234">
        <f t="shared" si="45"/>
        <v>28</v>
      </c>
      <c r="D353" s="235">
        <f t="shared" si="46"/>
        <v>0</v>
      </c>
      <c r="E353" s="235">
        <f t="shared" si="47"/>
        <v>0</v>
      </c>
      <c r="F353" s="235">
        <f t="shared" si="48"/>
        <v>0</v>
      </c>
      <c r="G353" s="235">
        <f t="shared" si="49"/>
        <v>0</v>
      </c>
      <c r="H353" s="235">
        <f t="shared" si="50"/>
        <v>0</v>
      </c>
      <c r="I353" s="236">
        <f t="shared" si="51"/>
        <v>0</v>
      </c>
    </row>
    <row r="354" spans="2:9" x14ac:dyDescent="0.3">
      <c r="B354" s="233">
        <f t="shared" si="52"/>
        <v>328</v>
      </c>
      <c r="C354" s="234">
        <f t="shared" si="45"/>
        <v>28</v>
      </c>
      <c r="D354" s="235">
        <f t="shared" si="46"/>
        <v>0</v>
      </c>
      <c r="E354" s="235">
        <f t="shared" si="47"/>
        <v>0</v>
      </c>
      <c r="F354" s="235">
        <f t="shared" si="48"/>
        <v>0</v>
      </c>
      <c r="G354" s="235">
        <f t="shared" si="49"/>
        <v>0</v>
      </c>
      <c r="H354" s="235">
        <f t="shared" si="50"/>
        <v>0</v>
      </c>
      <c r="I354" s="236">
        <f t="shared" si="51"/>
        <v>0</v>
      </c>
    </row>
    <row r="355" spans="2:9" x14ac:dyDescent="0.3">
      <c r="B355" s="233">
        <f t="shared" si="52"/>
        <v>329</v>
      </c>
      <c r="C355" s="234">
        <f t="shared" si="45"/>
        <v>28</v>
      </c>
      <c r="D355" s="235">
        <f t="shared" si="46"/>
        <v>0</v>
      </c>
      <c r="E355" s="235">
        <f t="shared" si="47"/>
        <v>0</v>
      </c>
      <c r="F355" s="235">
        <f t="shared" si="48"/>
        <v>0</v>
      </c>
      <c r="G355" s="235">
        <f t="shared" si="49"/>
        <v>0</v>
      </c>
      <c r="H355" s="235">
        <f t="shared" si="50"/>
        <v>0</v>
      </c>
      <c r="I355" s="236">
        <f t="shared" si="51"/>
        <v>0</v>
      </c>
    </row>
    <row r="356" spans="2:9" x14ac:dyDescent="0.3">
      <c r="B356" s="233">
        <f t="shared" si="52"/>
        <v>330</v>
      </c>
      <c r="C356" s="234">
        <f t="shared" si="45"/>
        <v>28</v>
      </c>
      <c r="D356" s="235">
        <f t="shared" si="46"/>
        <v>0</v>
      </c>
      <c r="E356" s="235">
        <f t="shared" si="47"/>
        <v>0</v>
      </c>
      <c r="F356" s="235">
        <f t="shared" si="48"/>
        <v>0</v>
      </c>
      <c r="G356" s="235">
        <f t="shared" si="49"/>
        <v>0</v>
      </c>
      <c r="H356" s="235">
        <f t="shared" si="50"/>
        <v>0</v>
      </c>
      <c r="I356" s="236">
        <f t="shared" si="51"/>
        <v>0</v>
      </c>
    </row>
    <row r="357" spans="2:9" x14ac:dyDescent="0.3">
      <c r="B357" s="233">
        <f t="shared" si="52"/>
        <v>331</v>
      </c>
      <c r="C357" s="234">
        <f t="shared" si="45"/>
        <v>28</v>
      </c>
      <c r="D357" s="235">
        <f t="shared" si="46"/>
        <v>0</v>
      </c>
      <c r="E357" s="235">
        <f t="shared" si="47"/>
        <v>0</v>
      </c>
      <c r="F357" s="235">
        <f t="shared" si="48"/>
        <v>0</v>
      </c>
      <c r="G357" s="235">
        <f t="shared" si="49"/>
        <v>0</v>
      </c>
      <c r="H357" s="235">
        <f t="shared" si="50"/>
        <v>0</v>
      </c>
      <c r="I357" s="236">
        <f t="shared" si="51"/>
        <v>0</v>
      </c>
    </row>
    <row r="358" spans="2:9" x14ac:dyDescent="0.3">
      <c r="B358" s="233">
        <f t="shared" si="52"/>
        <v>332</v>
      </c>
      <c r="C358" s="234">
        <f t="shared" si="45"/>
        <v>28</v>
      </c>
      <c r="D358" s="235">
        <f t="shared" si="46"/>
        <v>0</v>
      </c>
      <c r="E358" s="235">
        <f t="shared" si="47"/>
        <v>0</v>
      </c>
      <c r="F358" s="235">
        <f t="shared" si="48"/>
        <v>0</v>
      </c>
      <c r="G358" s="235">
        <f t="shared" si="49"/>
        <v>0</v>
      </c>
      <c r="H358" s="235">
        <f t="shared" si="50"/>
        <v>0</v>
      </c>
      <c r="I358" s="236">
        <f t="shared" si="51"/>
        <v>0</v>
      </c>
    </row>
    <row r="359" spans="2:9" x14ac:dyDescent="0.3">
      <c r="B359" s="233">
        <f t="shared" si="52"/>
        <v>333</v>
      </c>
      <c r="C359" s="234">
        <f t="shared" si="45"/>
        <v>28</v>
      </c>
      <c r="D359" s="235">
        <f t="shared" si="46"/>
        <v>0</v>
      </c>
      <c r="E359" s="235">
        <f t="shared" si="47"/>
        <v>0</v>
      </c>
      <c r="F359" s="235">
        <f t="shared" si="48"/>
        <v>0</v>
      </c>
      <c r="G359" s="235">
        <f t="shared" si="49"/>
        <v>0</v>
      </c>
      <c r="H359" s="235">
        <f t="shared" si="50"/>
        <v>0</v>
      </c>
      <c r="I359" s="236">
        <f t="shared" si="51"/>
        <v>0</v>
      </c>
    </row>
    <row r="360" spans="2:9" x14ac:dyDescent="0.3">
      <c r="B360" s="233">
        <f t="shared" si="52"/>
        <v>334</v>
      </c>
      <c r="C360" s="234">
        <f t="shared" ref="C360:C386" si="53">C348+1</f>
        <v>28</v>
      </c>
      <c r="D360" s="235">
        <f t="shared" si="46"/>
        <v>0</v>
      </c>
      <c r="E360" s="235">
        <f t="shared" si="47"/>
        <v>0</v>
      </c>
      <c r="F360" s="235">
        <f t="shared" si="48"/>
        <v>0</v>
      </c>
      <c r="G360" s="235">
        <f t="shared" si="49"/>
        <v>0</v>
      </c>
      <c r="H360" s="235">
        <f t="shared" si="50"/>
        <v>0</v>
      </c>
      <c r="I360" s="236">
        <f t="shared" si="51"/>
        <v>0</v>
      </c>
    </row>
    <row r="361" spans="2:9" x14ac:dyDescent="0.3">
      <c r="B361" s="233">
        <f t="shared" si="52"/>
        <v>335</v>
      </c>
      <c r="C361" s="234">
        <f t="shared" si="53"/>
        <v>28</v>
      </c>
      <c r="D361" s="235">
        <f t="shared" si="46"/>
        <v>0</v>
      </c>
      <c r="E361" s="235">
        <f t="shared" si="47"/>
        <v>0</v>
      </c>
      <c r="F361" s="235">
        <f t="shared" si="48"/>
        <v>0</v>
      </c>
      <c r="G361" s="235">
        <f t="shared" si="49"/>
        <v>0</v>
      </c>
      <c r="H361" s="235">
        <f t="shared" si="50"/>
        <v>0</v>
      </c>
      <c r="I361" s="236">
        <f t="shared" si="51"/>
        <v>0</v>
      </c>
    </row>
    <row r="362" spans="2:9" x14ac:dyDescent="0.3">
      <c r="B362" s="233">
        <f t="shared" si="52"/>
        <v>336</v>
      </c>
      <c r="C362" s="234">
        <f t="shared" si="53"/>
        <v>28</v>
      </c>
      <c r="D362" s="235">
        <f t="shared" si="46"/>
        <v>0</v>
      </c>
      <c r="E362" s="235">
        <f t="shared" si="47"/>
        <v>0</v>
      </c>
      <c r="F362" s="235">
        <f t="shared" si="48"/>
        <v>0</v>
      </c>
      <c r="G362" s="235">
        <f t="shared" si="49"/>
        <v>0</v>
      </c>
      <c r="H362" s="235">
        <f t="shared" si="50"/>
        <v>0</v>
      </c>
      <c r="I362" s="236">
        <f t="shared" si="51"/>
        <v>0</v>
      </c>
    </row>
    <row r="363" spans="2:9" x14ac:dyDescent="0.3">
      <c r="B363" s="233">
        <f t="shared" si="52"/>
        <v>337</v>
      </c>
      <c r="C363" s="234">
        <f t="shared" si="53"/>
        <v>29</v>
      </c>
      <c r="D363" s="235">
        <f t="shared" si="46"/>
        <v>0</v>
      </c>
      <c r="E363" s="235">
        <f t="shared" si="47"/>
        <v>0</v>
      </c>
      <c r="F363" s="235">
        <f t="shared" si="48"/>
        <v>0</v>
      </c>
      <c r="G363" s="235">
        <f t="shared" si="49"/>
        <v>0</v>
      </c>
      <c r="H363" s="235">
        <f t="shared" si="50"/>
        <v>0</v>
      </c>
      <c r="I363" s="236">
        <f t="shared" si="51"/>
        <v>0</v>
      </c>
    </row>
    <row r="364" spans="2:9" x14ac:dyDescent="0.3">
      <c r="B364" s="233">
        <f t="shared" si="52"/>
        <v>338</v>
      </c>
      <c r="C364" s="234">
        <f t="shared" si="53"/>
        <v>29</v>
      </c>
      <c r="D364" s="235">
        <f t="shared" si="46"/>
        <v>0</v>
      </c>
      <c r="E364" s="235">
        <f t="shared" si="47"/>
        <v>0</v>
      </c>
      <c r="F364" s="235">
        <f t="shared" si="48"/>
        <v>0</v>
      </c>
      <c r="G364" s="235">
        <f t="shared" si="49"/>
        <v>0</v>
      </c>
      <c r="H364" s="235">
        <f t="shared" si="50"/>
        <v>0</v>
      </c>
      <c r="I364" s="236">
        <f t="shared" si="51"/>
        <v>0</v>
      </c>
    </row>
    <row r="365" spans="2:9" x14ac:dyDescent="0.3">
      <c r="B365" s="233">
        <f t="shared" si="52"/>
        <v>339</v>
      </c>
      <c r="C365" s="234">
        <f t="shared" si="53"/>
        <v>29</v>
      </c>
      <c r="D365" s="235">
        <f t="shared" si="46"/>
        <v>0</v>
      </c>
      <c r="E365" s="235">
        <f t="shared" si="47"/>
        <v>0</v>
      </c>
      <c r="F365" s="235">
        <f t="shared" si="48"/>
        <v>0</v>
      </c>
      <c r="G365" s="235">
        <f t="shared" si="49"/>
        <v>0</v>
      </c>
      <c r="H365" s="235">
        <f t="shared" si="50"/>
        <v>0</v>
      </c>
      <c r="I365" s="236">
        <f t="shared" si="51"/>
        <v>0</v>
      </c>
    </row>
    <row r="366" spans="2:9" x14ac:dyDescent="0.3">
      <c r="B366" s="233">
        <f t="shared" si="52"/>
        <v>340</v>
      </c>
      <c r="C366" s="234">
        <f t="shared" si="53"/>
        <v>29</v>
      </c>
      <c r="D366" s="235">
        <f t="shared" si="46"/>
        <v>0</v>
      </c>
      <c r="E366" s="235">
        <f t="shared" si="47"/>
        <v>0</v>
      </c>
      <c r="F366" s="235">
        <f t="shared" si="48"/>
        <v>0</v>
      </c>
      <c r="G366" s="235">
        <f t="shared" si="49"/>
        <v>0</v>
      </c>
      <c r="H366" s="235">
        <f t="shared" si="50"/>
        <v>0</v>
      </c>
      <c r="I366" s="236">
        <f t="shared" si="51"/>
        <v>0</v>
      </c>
    </row>
    <row r="367" spans="2:9" x14ac:dyDescent="0.3">
      <c r="B367" s="233">
        <f t="shared" si="52"/>
        <v>341</v>
      </c>
      <c r="C367" s="234">
        <f t="shared" si="53"/>
        <v>29</v>
      </c>
      <c r="D367" s="235">
        <f t="shared" si="46"/>
        <v>0</v>
      </c>
      <c r="E367" s="235">
        <f t="shared" si="47"/>
        <v>0</v>
      </c>
      <c r="F367" s="235">
        <f t="shared" si="48"/>
        <v>0</v>
      </c>
      <c r="G367" s="235">
        <f t="shared" si="49"/>
        <v>0</v>
      </c>
      <c r="H367" s="235">
        <f t="shared" si="50"/>
        <v>0</v>
      </c>
      <c r="I367" s="236">
        <f t="shared" si="51"/>
        <v>0</v>
      </c>
    </row>
    <row r="368" spans="2:9" x14ac:dyDescent="0.3">
      <c r="B368" s="233">
        <f t="shared" si="52"/>
        <v>342</v>
      </c>
      <c r="C368" s="234">
        <f t="shared" si="53"/>
        <v>29</v>
      </c>
      <c r="D368" s="235">
        <f t="shared" si="46"/>
        <v>0</v>
      </c>
      <c r="E368" s="235">
        <f t="shared" si="47"/>
        <v>0</v>
      </c>
      <c r="F368" s="235">
        <f t="shared" si="48"/>
        <v>0</v>
      </c>
      <c r="G368" s="235">
        <f t="shared" si="49"/>
        <v>0</v>
      </c>
      <c r="H368" s="235">
        <f t="shared" si="50"/>
        <v>0</v>
      </c>
      <c r="I368" s="236">
        <f t="shared" si="51"/>
        <v>0</v>
      </c>
    </row>
    <row r="369" spans="2:9" x14ac:dyDescent="0.3">
      <c r="B369" s="233">
        <f t="shared" si="52"/>
        <v>343</v>
      </c>
      <c r="C369" s="234">
        <f t="shared" si="53"/>
        <v>29</v>
      </c>
      <c r="D369" s="235">
        <f t="shared" si="46"/>
        <v>0</v>
      </c>
      <c r="E369" s="235">
        <f t="shared" si="47"/>
        <v>0</v>
      </c>
      <c r="F369" s="235">
        <f t="shared" si="48"/>
        <v>0</v>
      </c>
      <c r="G369" s="235">
        <f t="shared" si="49"/>
        <v>0</v>
      </c>
      <c r="H369" s="235">
        <f t="shared" si="50"/>
        <v>0</v>
      </c>
      <c r="I369" s="236">
        <f t="shared" si="51"/>
        <v>0</v>
      </c>
    </row>
    <row r="370" spans="2:9" x14ac:dyDescent="0.3">
      <c r="B370" s="233">
        <f t="shared" si="52"/>
        <v>344</v>
      </c>
      <c r="C370" s="234">
        <f t="shared" si="53"/>
        <v>29</v>
      </c>
      <c r="D370" s="235">
        <f t="shared" si="46"/>
        <v>0</v>
      </c>
      <c r="E370" s="235">
        <f t="shared" si="47"/>
        <v>0</v>
      </c>
      <c r="F370" s="235">
        <f t="shared" si="48"/>
        <v>0</v>
      </c>
      <c r="G370" s="235">
        <f t="shared" si="49"/>
        <v>0</v>
      </c>
      <c r="H370" s="235">
        <f t="shared" si="50"/>
        <v>0</v>
      </c>
      <c r="I370" s="236">
        <f t="shared" si="51"/>
        <v>0</v>
      </c>
    </row>
    <row r="371" spans="2:9" x14ac:dyDescent="0.3">
      <c r="B371" s="233">
        <f t="shared" si="52"/>
        <v>345</v>
      </c>
      <c r="C371" s="234">
        <f t="shared" si="53"/>
        <v>29</v>
      </c>
      <c r="D371" s="235">
        <f t="shared" si="46"/>
        <v>0</v>
      </c>
      <c r="E371" s="235">
        <f t="shared" si="47"/>
        <v>0</v>
      </c>
      <c r="F371" s="235">
        <f t="shared" si="48"/>
        <v>0</v>
      </c>
      <c r="G371" s="235">
        <f t="shared" si="49"/>
        <v>0</v>
      </c>
      <c r="H371" s="235">
        <f t="shared" si="50"/>
        <v>0</v>
      </c>
      <c r="I371" s="236">
        <f t="shared" si="51"/>
        <v>0</v>
      </c>
    </row>
    <row r="372" spans="2:9" x14ac:dyDescent="0.3">
      <c r="B372" s="233">
        <f t="shared" si="52"/>
        <v>346</v>
      </c>
      <c r="C372" s="234">
        <f t="shared" si="53"/>
        <v>29</v>
      </c>
      <c r="D372" s="235">
        <f t="shared" si="46"/>
        <v>0</v>
      </c>
      <c r="E372" s="235">
        <f t="shared" si="47"/>
        <v>0</v>
      </c>
      <c r="F372" s="235">
        <f t="shared" si="48"/>
        <v>0</v>
      </c>
      <c r="G372" s="235">
        <f t="shared" si="49"/>
        <v>0</v>
      </c>
      <c r="H372" s="235">
        <f t="shared" si="50"/>
        <v>0</v>
      </c>
      <c r="I372" s="236">
        <f t="shared" si="51"/>
        <v>0</v>
      </c>
    </row>
    <row r="373" spans="2:9" x14ac:dyDescent="0.3">
      <c r="B373" s="233">
        <f t="shared" si="52"/>
        <v>347</v>
      </c>
      <c r="C373" s="234">
        <f t="shared" si="53"/>
        <v>29</v>
      </c>
      <c r="D373" s="235">
        <f t="shared" si="46"/>
        <v>0</v>
      </c>
      <c r="E373" s="235">
        <f t="shared" si="47"/>
        <v>0</v>
      </c>
      <c r="F373" s="235">
        <f t="shared" si="48"/>
        <v>0</v>
      </c>
      <c r="G373" s="235">
        <f t="shared" si="49"/>
        <v>0</v>
      </c>
      <c r="H373" s="235">
        <f t="shared" si="50"/>
        <v>0</v>
      </c>
      <c r="I373" s="236">
        <f t="shared" si="51"/>
        <v>0</v>
      </c>
    </row>
    <row r="374" spans="2:9" x14ac:dyDescent="0.3">
      <c r="B374" s="233">
        <f t="shared" si="52"/>
        <v>348</v>
      </c>
      <c r="C374" s="234">
        <f t="shared" si="53"/>
        <v>29</v>
      </c>
      <c r="D374" s="235">
        <f t="shared" si="46"/>
        <v>0</v>
      </c>
      <c r="E374" s="235">
        <f t="shared" si="47"/>
        <v>0</v>
      </c>
      <c r="F374" s="235">
        <f t="shared" si="48"/>
        <v>0</v>
      </c>
      <c r="G374" s="235">
        <f t="shared" si="49"/>
        <v>0</v>
      </c>
      <c r="H374" s="235">
        <f t="shared" si="50"/>
        <v>0</v>
      </c>
      <c r="I374" s="236">
        <f t="shared" si="51"/>
        <v>0</v>
      </c>
    </row>
    <row r="375" spans="2:9" x14ac:dyDescent="0.3">
      <c r="B375" s="233">
        <f t="shared" si="52"/>
        <v>349</v>
      </c>
      <c r="C375" s="234">
        <f t="shared" si="53"/>
        <v>30</v>
      </c>
      <c r="D375" s="235">
        <f t="shared" si="46"/>
        <v>0</v>
      </c>
      <c r="E375" s="235">
        <f t="shared" si="47"/>
        <v>0</v>
      </c>
      <c r="F375" s="235">
        <f t="shared" si="48"/>
        <v>0</v>
      </c>
      <c r="G375" s="235">
        <f t="shared" si="49"/>
        <v>0</v>
      </c>
      <c r="H375" s="235">
        <f t="shared" si="50"/>
        <v>0</v>
      </c>
      <c r="I375" s="236">
        <f t="shared" si="51"/>
        <v>0</v>
      </c>
    </row>
    <row r="376" spans="2:9" x14ac:dyDescent="0.3">
      <c r="B376" s="233">
        <f t="shared" si="52"/>
        <v>350</v>
      </c>
      <c r="C376" s="234">
        <f t="shared" si="53"/>
        <v>30</v>
      </c>
      <c r="D376" s="235">
        <f t="shared" si="46"/>
        <v>0</v>
      </c>
      <c r="E376" s="235">
        <f t="shared" si="47"/>
        <v>0</v>
      </c>
      <c r="F376" s="235">
        <f t="shared" si="48"/>
        <v>0</v>
      </c>
      <c r="G376" s="235">
        <f t="shared" si="49"/>
        <v>0</v>
      </c>
      <c r="H376" s="235">
        <f t="shared" si="50"/>
        <v>0</v>
      </c>
      <c r="I376" s="236">
        <f t="shared" si="51"/>
        <v>0</v>
      </c>
    </row>
    <row r="377" spans="2:9" x14ac:dyDescent="0.3">
      <c r="B377" s="233">
        <f t="shared" si="52"/>
        <v>351</v>
      </c>
      <c r="C377" s="234">
        <f t="shared" si="53"/>
        <v>30</v>
      </c>
      <c r="D377" s="235">
        <f t="shared" si="46"/>
        <v>0</v>
      </c>
      <c r="E377" s="235">
        <f t="shared" si="47"/>
        <v>0</v>
      </c>
      <c r="F377" s="235">
        <f t="shared" si="48"/>
        <v>0</v>
      </c>
      <c r="G377" s="235">
        <f t="shared" si="49"/>
        <v>0</v>
      </c>
      <c r="H377" s="235">
        <f t="shared" si="50"/>
        <v>0</v>
      </c>
      <c r="I377" s="236">
        <f t="shared" si="51"/>
        <v>0</v>
      </c>
    </row>
    <row r="378" spans="2:9" x14ac:dyDescent="0.3">
      <c r="B378" s="233">
        <f t="shared" si="52"/>
        <v>352</v>
      </c>
      <c r="C378" s="234">
        <f t="shared" si="53"/>
        <v>30</v>
      </c>
      <c r="D378" s="235">
        <f t="shared" si="46"/>
        <v>0</v>
      </c>
      <c r="E378" s="235">
        <f t="shared" si="47"/>
        <v>0</v>
      </c>
      <c r="F378" s="235">
        <f t="shared" si="48"/>
        <v>0</v>
      </c>
      <c r="G378" s="235">
        <f t="shared" si="49"/>
        <v>0</v>
      </c>
      <c r="H378" s="235">
        <f t="shared" si="50"/>
        <v>0</v>
      </c>
      <c r="I378" s="236">
        <f t="shared" si="51"/>
        <v>0</v>
      </c>
    </row>
    <row r="379" spans="2:9" x14ac:dyDescent="0.3">
      <c r="B379" s="233">
        <f t="shared" si="52"/>
        <v>353</v>
      </c>
      <c r="C379" s="234">
        <f t="shared" si="53"/>
        <v>30</v>
      </c>
      <c r="D379" s="235">
        <f t="shared" si="46"/>
        <v>0</v>
      </c>
      <c r="E379" s="235">
        <f t="shared" si="47"/>
        <v>0</v>
      </c>
      <c r="F379" s="235">
        <f t="shared" si="48"/>
        <v>0</v>
      </c>
      <c r="G379" s="235">
        <f t="shared" si="49"/>
        <v>0</v>
      </c>
      <c r="H379" s="235">
        <f t="shared" si="50"/>
        <v>0</v>
      </c>
      <c r="I379" s="236">
        <f t="shared" si="51"/>
        <v>0</v>
      </c>
    </row>
    <row r="380" spans="2:9" x14ac:dyDescent="0.3">
      <c r="B380" s="233">
        <f t="shared" si="52"/>
        <v>354</v>
      </c>
      <c r="C380" s="234">
        <f t="shared" si="53"/>
        <v>30</v>
      </c>
      <c r="D380" s="235">
        <f t="shared" si="46"/>
        <v>0</v>
      </c>
      <c r="E380" s="235">
        <f t="shared" si="47"/>
        <v>0</v>
      </c>
      <c r="F380" s="235">
        <f t="shared" si="48"/>
        <v>0</v>
      </c>
      <c r="G380" s="235">
        <f t="shared" si="49"/>
        <v>0</v>
      </c>
      <c r="H380" s="235">
        <f t="shared" si="50"/>
        <v>0</v>
      </c>
      <c r="I380" s="236">
        <f t="shared" si="51"/>
        <v>0</v>
      </c>
    </row>
    <row r="381" spans="2:9" x14ac:dyDescent="0.3">
      <c r="B381" s="233">
        <f t="shared" si="52"/>
        <v>355</v>
      </c>
      <c r="C381" s="234">
        <f t="shared" si="53"/>
        <v>30</v>
      </c>
      <c r="D381" s="235">
        <f t="shared" si="46"/>
        <v>0</v>
      </c>
      <c r="E381" s="235">
        <f t="shared" si="47"/>
        <v>0</v>
      </c>
      <c r="F381" s="235">
        <f t="shared" si="48"/>
        <v>0</v>
      </c>
      <c r="G381" s="235">
        <f t="shared" si="49"/>
        <v>0</v>
      </c>
      <c r="H381" s="235">
        <f t="shared" si="50"/>
        <v>0</v>
      </c>
      <c r="I381" s="236">
        <f t="shared" si="51"/>
        <v>0</v>
      </c>
    </row>
    <row r="382" spans="2:9" x14ac:dyDescent="0.3">
      <c r="B382" s="233">
        <f t="shared" si="52"/>
        <v>356</v>
      </c>
      <c r="C382" s="234">
        <f t="shared" si="53"/>
        <v>30</v>
      </c>
      <c r="D382" s="235">
        <f t="shared" si="46"/>
        <v>0</v>
      </c>
      <c r="E382" s="235">
        <f t="shared" si="47"/>
        <v>0</v>
      </c>
      <c r="F382" s="235">
        <f t="shared" si="48"/>
        <v>0</v>
      </c>
      <c r="G382" s="235">
        <f t="shared" si="49"/>
        <v>0</v>
      </c>
      <c r="H382" s="235">
        <f t="shared" si="50"/>
        <v>0</v>
      </c>
      <c r="I382" s="236">
        <f t="shared" si="51"/>
        <v>0</v>
      </c>
    </row>
    <row r="383" spans="2:9" x14ac:dyDescent="0.3">
      <c r="B383" s="233">
        <f t="shared" si="52"/>
        <v>357</v>
      </c>
      <c r="C383" s="234">
        <f t="shared" si="53"/>
        <v>30</v>
      </c>
      <c r="D383" s="235">
        <f t="shared" si="46"/>
        <v>0</v>
      </c>
      <c r="E383" s="235">
        <f t="shared" si="47"/>
        <v>0</v>
      </c>
      <c r="F383" s="235">
        <f t="shared" si="48"/>
        <v>0</v>
      </c>
      <c r="G383" s="235">
        <f t="shared" si="49"/>
        <v>0</v>
      </c>
      <c r="H383" s="235">
        <f t="shared" si="50"/>
        <v>0</v>
      </c>
      <c r="I383" s="236">
        <f t="shared" si="51"/>
        <v>0</v>
      </c>
    </row>
    <row r="384" spans="2:9" x14ac:dyDescent="0.3">
      <c r="B384" s="233">
        <f t="shared" si="52"/>
        <v>358</v>
      </c>
      <c r="C384" s="234">
        <f t="shared" si="53"/>
        <v>30</v>
      </c>
      <c r="D384" s="235">
        <f t="shared" si="46"/>
        <v>0</v>
      </c>
      <c r="E384" s="235">
        <f t="shared" si="47"/>
        <v>0</v>
      </c>
      <c r="F384" s="235">
        <f t="shared" si="48"/>
        <v>0</v>
      </c>
      <c r="G384" s="235">
        <f t="shared" si="49"/>
        <v>0</v>
      </c>
      <c r="H384" s="235">
        <f t="shared" si="50"/>
        <v>0</v>
      </c>
      <c r="I384" s="236">
        <f t="shared" si="51"/>
        <v>0</v>
      </c>
    </row>
    <row r="385" spans="2:9" x14ac:dyDescent="0.3">
      <c r="B385" s="233">
        <f t="shared" si="52"/>
        <v>359</v>
      </c>
      <c r="C385" s="234">
        <f t="shared" si="53"/>
        <v>30</v>
      </c>
      <c r="D385" s="235">
        <f t="shared" si="46"/>
        <v>0</v>
      </c>
      <c r="E385" s="235">
        <f t="shared" si="47"/>
        <v>0</v>
      </c>
      <c r="F385" s="235">
        <f t="shared" si="48"/>
        <v>0</v>
      </c>
      <c r="G385" s="235">
        <f t="shared" si="49"/>
        <v>0</v>
      </c>
      <c r="H385" s="235">
        <f t="shared" si="50"/>
        <v>0</v>
      </c>
      <c r="I385" s="236">
        <f t="shared" si="51"/>
        <v>0</v>
      </c>
    </row>
    <row r="386" spans="2:9" x14ac:dyDescent="0.3">
      <c r="B386" s="245">
        <f t="shared" si="52"/>
        <v>360</v>
      </c>
      <c r="C386" s="246">
        <f t="shared" si="53"/>
        <v>30</v>
      </c>
      <c r="D386" s="242">
        <f t="shared" si="46"/>
        <v>0</v>
      </c>
      <c r="E386" s="242">
        <f t="shared" si="47"/>
        <v>0</v>
      </c>
      <c r="F386" s="242">
        <f t="shared" si="48"/>
        <v>0</v>
      </c>
      <c r="G386" s="242">
        <f t="shared" si="49"/>
        <v>0</v>
      </c>
      <c r="H386" s="242">
        <f t="shared" si="50"/>
        <v>0</v>
      </c>
      <c r="I386" s="247">
        <f t="shared" si="51"/>
        <v>0</v>
      </c>
    </row>
  </sheetData>
  <conditionalFormatting sqref="B27:I386">
    <cfRule type="expression" dxfId="3" priority="2">
      <formula>MOD(ROW(),2)=1</formula>
    </cfRule>
  </conditionalFormatting>
  <conditionalFormatting sqref="K27:O56">
    <cfRule type="expression" dxfId="2" priority="1">
      <formula>MOD(ROW(),2)=1</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D77E-0386-44BF-B1EE-B1C7061B3CF3}">
  <sheetPr>
    <tabColor theme="0" tint="-0.34998626667073579"/>
  </sheetPr>
  <dimension ref="B2:FL79"/>
  <sheetViews>
    <sheetView showGridLines="0" zoomScale="85" zoomScaleNormal="85" zoomScalePageLayoutView="85" workbookViewId="0"/>
  </sheetViews>
  <sheetFormatPr defaultColWidth="8.88671875" defaultRowHeight="14.4" outlineLevelRow="1" x14ac:dyDescent="0.3"/>
  <cols>
    <col min="1" max="1" width="4" customWidth="1"/>
    <col min="2" max="2" width="8.33203125" bestFit="1" customWidth="1"/>
    <col min="3" max="3" width="3.88671875" customWidth="1"/>
    <col min="4" max="4" width="4" customWidth="1"/>
    <col min="5" max="5" width="29.109375" customWidth="1"/>
    <col min="6" max="6" width="12.88671875" customWidth="1"/>
    <col min="7" max="150" width="14.33203125" customWidth="1"/>
  </cols>
  <sheetData>
    <row r="2" spans="2:168" ht="15" thickBot="1" x14ac:dyDescent="0.35">
      <c r="F2" s="37" t="s">
        <v>64</v>
      </c>
      <c r="L2" s="37" t="s">
        <v>65</v>
      </c>
    </row>
    <row r="3" spans="2:168" ht="28.8" x14ac:dyDescent="0.3">
      <c r="E3" s="180" t="s">
        <v>66</v>
      </c>
      <c r="F3" s="180" t="s">
        <v>67</v>
      </c>
      <c r="G3" s="180" t="s">
        <v>68</v>
      </c>
      <c r="H3" s="180" t="s">
        <v>69</v>
      </c>
      <c r="I3" s="180" t="s">
        <v>70</v>
      </c>
      <c r="J3" s="180" t="s">
        <v>71</v>
      </c>
      <c r="L3" s="181" t="s">
        <v>72</v>
      </c>
      <c r="M3" s="182" t="s">
        <v>73</v>
      </c>
      <c r="N3" s="182" t="s">
        <v>74</v>
      </c>
      <c r="O3" s="182" t="s">
        <v>75</v>
      </c>
      <c r="P3" s="182" t="s">
        <v>76</v>
      </c>
      <c r="Q3" s="182" t="s">
        <v>77</v>
      </c>
      <c r="R3" s="182" t="s">
        <v>78</v>
      </c>
      <c r="S3" s="183" t="s">
        <v>79</v>
      </c>
    </row>
    <row r="4" spans="2:168" ht="15" thickBot="1" x14ac:dyDescent="0.35">
      <c r="E4" s="184" t="str">
        <f>'Property Summary'!A59</f>
        <v>Sponsor</v>
      </c>
      <c r="F4" s="75">
        <f>'Property Summary'!B59</f>
        <v>0.05</v>
      </c>
      <c r="G4" s="76">
        <f>'Property Summary'!D59</f>
        <v>0.1</v>
      </c>
      <c r="H4" s="75">
        <f>'Property Summary'!E59</f>
        <v>0.32500000000000001</v>
      </c>
      <c r="I4" s="76">
        <f>'Property Summary'!F59</f>
        <v>0.15</v>
      </c>
      <c r="J4" s="75">
        <f>'Property Summary'!G59</f>
        <v>0.46</v>
      </c>
      <c r="L4" s="38">
        <f>XIRR(G49:ET49,G8:ET8)</f>
        <v>9.5341792702674844E-2</v>
      </c>
      <c r="M4" s="185">
        <f>-SUMIF($G$49:$ET$49,"&gt;0",$G$49:$ET$49)/SUMIF($G$49:$ET$49,"&lt;0",$G$49:$ET$49)</f>
        <v>2.126814558392478</v>
      </c>
      <c r="N4" s="186">
        <f>SUM($G$49:$ET$49)</f>
        <v>60262319.892322935</v>
      </c>
      <c r="O4" s="39">
        <f>N4/(N4+R4)</f>
        <v>4.9999999999999989E-2</v>
      </c>
      <c r="P4" s="40">
        <f>XIRR(G48:ET48,G8:ET8)</f>
        <v>9.5341792702674844E-2</v>
      </c>
      <c r="Q4" s="187">
        <f>-SUMIF($G$48:$ET$48,"&gt;0",$G$48:$ET$48)/SUMIF($G$48:$ET$48,"&lt;0",$G$48:$ET$48)</f>
        <v>2.126814558392478</v>
      </c>
      <c r="R4" s="188">
        <f>SUM($G$48:$ET$48)</f>
        <v>1144984077.9541359</v>
      </c>
      <c r="S4" s="41">
        <f>R4/(N4+R4)</f>
        <v>0.95</v>
      </c>
    </row>
    <row r="5" spans="2:168" x14ac:dyDescent="0.3">
      <c r="E5" s="184" t="str">
        <f>'Property Summary'!A60</f>
        <v>Capital Partner</v>
      </c>
      <c r="F5" s="189">
        <f>'Property Summary'!B60</f>
        <v>0.95</v>
      </c>
      <c r="G5" s="42">
        <f>'Property Summary'!D60</f>
        <v>0.1</v>
      </c>
      <c r="H5" s="189">
        <f>'Property Summary'!E60</f>
        <v>0.67500000000000004</v>
      </c>
      <c r="I5" s="42">
        <f>'Property Summary'!F60</f>
        <v>0.1</v>
      </c>
      <c r="J5" s="189">
        <f>'Property Summary'!G60</f>
        <v>0.54</v>
      </c>
    </row>
    <row r="7" spans="2:168" x14ac:dyDescent="0.3">
      <c r="G7" s="43"/>
      <c r="H7" s="43"/>
      <c r="I7" s="43"/>
      <c r="J7" s="43"/>
    </row>
    <row r="8" spans="2:168" s="190" customFormat="1" x14ac:dyDescent="0.3">
      <c r="E8" s="191"/>
      <c r="F8" s="192"/>
      <c r="G8" s="74">
        <f>Proforma!E4</f>
        <v>45292</v>
      </c>
      <c r="H8" s="74">
        <f>Proforma!F4</f>
        <v>45657</v>
      </c>
      <c r="I8" s="74">
        <f>Proforma!G4</f>
        <v>46022</v>
      </c>
      <c r="J8" s="74">
        <f>Proforma!H4</f>
        <v>46387</v>
      </c>
      <c r="K8" s="74">
        <f>Proforma!I4</f>
        <v>46752</v>
      </c>
      <c r="L8" s="74">
        <f>Proforma!J4</f>
        <v>47118</v>
      </c>
      <c r="M8" s="74">
        <f>Proforma!K4</f>
        <v>47483</v>
      </c>
      <c r="N8" s="74">
        <f>Proforma!L4</f>
        <v>47848</v>
      </c>
      <c r="O8" s="74">
        <f>Proforma!M4</f>
        <v>48213</v>
      </c>
      <c r="P8" s="74">
        <f>Proforma!N4</f>
        <v>48579</v>
      </c>
      <c r="Q8" s="74">
        <f>Proforma!O4</f>
        <v>48944</v>
      </c>
      <c r="R8" s="74">
        <f>Proforma!P4</f>
        <v>49309</v>
      </c>
      <c r="S8" s="74">
        <f>Proforma!Q4</f>
        <v>0</v>
      </c>
      <c r="T8" s="74">
        <f>Proforma!R4</f>
        <v>0</v>
      </c>
      <c r="U8" s="74">
        <f>Proforma!S4</f>
        <v>0</v>
      </c>
      <c r="V8" s="74">
        <f>Proforma!T4</f>
        <v>0</v>
      </c>
      <c r="W8" s="74">
        <f>Proforma!U4</f>
        <v>0</v>
      </c>
      <c r="X8" s="74">
        <f>Proforma!V4</f>
        <v>0</v>
      </c>
      <c r="Y8" s="74">
        <f>Proforma!W4</f>
        <v>0</v>
      </c>
      <c r="Z8" s="74">
        <f>Proforma!X4</f>
        <v>0</v>
      </c>
      <c r="AA8" s="74">
        <f>Proforma!Y4</f>
        <v>0</v>
      </c>
      <c r="AB8" s="74">
        <f>Proforma!Z4</f>
        <v>0</v>
      </c>
      <c r="AC8" s="74">
        <f>Proforma!AA4</f>
        <v>0</v>
      </c>
      <c r="AD8" s="74">
        <f>Proforma!AB4</f>
        <v>0</v>
      </c>
      <c r="AE8" s="74">
        <f>Proforma!AC4</f>
        <v>0</v>
      </c>
      <c r="AF8" s="74">
        <f>Proforma!AD4</f>
        <v>0</v>
      </c>
      <c r="AG8" s="74">
        <f>Proforma!AE4</f>
        <v>0</v>
      </c>
      <c r="AH8" s="74">
        <f>Proforma!AF4</f>
        <v>0</v>
      </c>
      <c r="AI8" s="74">
        <f>Proforma!AG4</f>
        <v>0</v>
      </c>
      <c r="AJ8" s="74">
        <f>Proforma!AH4</f>
        <v>0</v>
      </c>
      <c r="AK8" s="74">
        <f>Proforma!AI4</f>
        <v>0</v>
      </c>
      <c r="AL8" s="74">
        <f>Proforma!AJ4</f>
        <v>0</v>
      </c>
      <c r="AM8" s="74">
        <f>Proforma!AK4</f>
        <v>0</v>
      </c>
      <c r="AN8" s="74">
        <f>Proforma!AL4</f>
        <v>0</v>
      </c>
      <c r="AO8" s="74">
        <f>Proforma!AM4</f>
        <v>0</v>
      </c>
      <c r="AP8" s="74">
        <f>Proforma!AN4</f>
        <v>0</v>
      </c>
      <c r="AQ8" s="74">
        <f>Proforma!AO4</f>
        <v>0</v>
      </c>
      <c r="AR8" s="74">
        <f>Proforma!AP4</f>
        <v>0</v>
      </c>
      <c r="AS8" s="74">
        <f>Proforma!AQ4</f>
        <v>0</v>
      </c>
      <c r="AT8" s="74">
        <f>Proforma!AR4</f>
        <v>0</v>
      </c>
      <c r="AU8" s="74">
        <f>Proforma!AS4</f>
        <v>0</v>
      </c>
      <c r="AV8" s="74">
        <f>Proforma!AT4</f>
        <v>0</v>
      </c>
      <c r="AW8" s="74">
        <f>Proforma!AU4</f>
        <v>0</v>
      </c>
      <c r="AX8" s="74">
        <f>Proforma!AV4</f>
        <v>0</v>
      </c>
      <c r="AY8" s="74">
        <f>Proforma!AW4</f>
        <v>0</v>
      </c>
      <c r="AZ8" s="74">
        <f>Proforma!AX4</f>
        <v>0</v>
      </c>
      <c r="BA8" s="74">
        <f>Proforma!AY4</f>
        <v>0</v>
      </c>
      <c r="BB8" s="74">
        <f>Proforma!AZ4</f>
        <v>0</v>
      </c>
      <c r="BC8" s="74">
        <f>Proforma!BA4</f>
        <v>0</v>
      </c>
      <c r="BD8" s="74">
        <f>Proforma!BB4</f>
        <v>0</v>
      </c>
      <c r="BE8" s="74">
        <f>Proforma!BC4</f>
        <v>0</v>
      </c>
      <c r="BF8" s="74">
        <f>Proforma!BD4</f>
        <v>0</v>
      </c>
      <c r="BG8" s="74">
        <f>Proforma!BE4</f>
        <v>0</v>
      </c>
      <c r="BH8" s="74">
        <f>Proforma!BF4</f>
        <v>0</v>
      </c>
      <c r="BI8" s="74">
        <f>Proforma!BG4</f>
        <v>0</v>
      </c>
      <c r="BJ8" s="74">
        <f>Proforma!BH4</f>
        <v>0</v>
      </c>
      <c r="BK8" s="74">
        <f>Proforma!BI4</f>
        <v>0</v>
      </c>
      <c r="BL8" s="74">
        <f>Proforma!BJ4</f>
        <v>0</v>
      </c>
      <c r="BM8" s="74">
        <f>Proforma!BK4</f>
        <v>0</v>
      </c>
      <c r="BN8" s="74">
        <f>Proforma!BL4</f>
        <v>0</v>
      </c>
      <c r="BO8" s="74">
        <f>Proforma!BM4</f>
        <v>0</v>
      </c>
      <c r="BP8" s="74">
        <f>Proforma!BN4</f>
        <v>0</v>
      </c>
      <c r="BQ8" s="74">
        <f>Proforma!BO4</f>
        <v>0</v>
      </c>
      <c r="BR8" s="74">
        <f>Proforma!BP4</f>
        <v>0</v>
      </c>
      <c r="BS8" s="74">
        <f>Proforma!BQ4</f>
        <v>0</v>
      </c>
      <c r="BT8" s="74">
        <f>Proforma!BR4</f>
        <v>0</v>
      </c>
      <c r="BU8" s="74">
        <f>Proforma!BS4</f>
        <v>0</v>
      </c>
      <c r="BV8" s="74">
        <f>Proforma!BT4</f>
        <v>0</v>
      </c>
      <c r="BW8" s="74">
        <f>Proforma!BU4</f>
        <v>0</v>
      </c>
      <c r="BX8" s="74">
        <f>Proforma!BV4</f>
        <v>0</v>
      </c>
      <c r="BY8" s="74">
        <f>Proforma!BW4</f>
        <v>0</v>
      </c>
      <c r="BZ8" s="74">
        <f>Proforma!BX4</f>
        <v>0</v>
      </c>
      <c r="CA8" s="74">
        <f>Proforma!BY4</f>
        <v>0</v>
      </c>
      <c r="CB8" s="74">
        <f>Proforma!BZ4</f>
        <v>0</v>
      </c>
      <c r="CC8" s="74">
        <f>Proforma!CA4</f>
        <v>0</v>
      </c>
      <c r="CD8" s="74">
        <f>Proforma!CB4</f>
        <v>0</v>
      </c>
      <c r="CE8" s="74">
        <f>Proforma!CC4</f>
        <v>0</v>
      </c>
      <c r="CF8" s="74">
        <f>Proforma!CD4</f>
        <v>0</v>
      </c>
      <c r="CG8" s="74">
        <f>Proforma!CE4</f>
        <v>0</v>
      </c>
      <c r="CH8" s="74">
        <f>Proforma!CF4</f>
        <v>0</v>
      </c>
      <c r="CI8" s="74">
        <f>Proforma!CG4</f>
        <v>0</v>
      </c>
      <c r="CJ8" s="74">
        <f>Proforma!CH4</f>
        <v>0</v>
      </c>
      <c r="CK8" s="74">
        <f>Proforma!CI4</f>
        <v>0</v>
      </c>
      <c r="CL8" s="74">
        <f>Proforma!CJ4</f>
        <v>0</v>
      </c>
      <c r="CM8" s="74">
        <f>Proforma!CK4</f>
        <v>0</v>
      </c>
      <c r="CN8" s="74">
        <f>Proforma!CL4</f>
        <v>0</v>
      </c>
      <c r="CO8" s="74">
        <f>Proforma!CM4</f>
        <v>0</v>
      </c>
      <c r="CP8" s="74">
        <f>Proforma!CN4</f>
        <v>0</v>
      </c>
      <c r="CQ8" s="74">
        <f>Proforma!CO4</f>
        <v>0</v>
      </c>
      <c r="CR8" s="74">
        <f>Proforma!CP4</f>
        <v>0</v>
      </c>
      <c r="CS8" s="74">
        <f>Proforma!CQ4</f>
        <v>0</v>
      </c>
      <c r="CT8" s="74">
        <f>Proforma!CR4</f>
        <v>0</v>
      </c>
      <c r="CU8" s="74">
        <f>Proforma!CS4</f>
        <v>0</v>
      </c>
      <c r="CV8" s="74">
        <f>Proforma!CT4</f>
        <v>0</v>
      </c>
      <c r="CW8" s="74">
        <f>Proforma!CU4</f>
        <v>0</v>
      </c>
      <c r="CX8" s="74">
        <f>Proforma!CV4</f>
        <v>0</v>
      </c>
      <c r="CY8" s="74">
        <f>Proforma!CW4</f>
        <v>0</v>
      </c>
      <c r="CZ8" s="74">
        <f>Proforma!CX4</f>
        <v>0</v>
      </c>
      <c r="DA8" s="74">
        <f>Proforma!CY4</f>
        <v>0</v>
      </c>
      <c r="DB8" s="74">
        <f>Proforma!CZ4</f>
        <v>0</v>
      </c>
      <c r="DC8" s="74">
        <f>Proforma!DA4</f>
        <v>0</v>
      </c>
      <c r="DD8" s="74">
        <f>Proforma!DB4</f>
        <v>0</v>
      </c>
      <c r="DE8" s="74">
        <f>Proforma!DC4</f>
        <v>0</v>
      </c>
      <c r="DF8" s="74">
        <f>Proforma!DD4</f>
        <v>0</v>
      </c>
      <c r="DG8" s="74">
        <f>Proforma!DE4</f>
        <v>0</v>
      </c>
      <c r="DH8" s="74">
        <f>Proforma!DF4</f>
        <v>0</v>
      </c>
      <c r="DI8" s="74">
        <f>Proforma!DG4</f>
        <v>0</v>
      </c>
      <c r="DJ8" s="74">
        <f>Proforma!DH4</f>
        <v>0</v>
      </c>
      <c r="DK8" s="74">
        <f>Proforma!DI4</f>
        <v>0</v>
      </c>
      <c r="DL8" s="74">
        <f>Proforma!DJ4</f>
        <v>0</v>
      </c>
      <c r="DM8" s="74">
        <f>Proforma!DK4</f>
        <v>0</v>
      </c>
      <c r="DN8" s="74">
        <f>Proforma!DL4</f>
        <v>0</v>
      </c>
      <c r="DO8" s="74">
        <f>Proforma!DM4</f>
        <v>0</v>
      </c>
      <c r="DP8" s="74">
        <f>Proforma!DN4</f>
        <v>0</v>
      </c>
      <c r="DQ8" s="74">
        <f>Proforma!DO4</f>
        <v>0</v>
      </c>
      <c r="DR8" s="74">
        <f>Proforma!DP4</f>
        <v>0</v>
      </c>
      <c r="DS8" s="74">
        <f>Proforma!DQ4</f>
        <v>0</v>
      </c>
      <c r="DT8" s="74">
        <f>Proforma!DR4</f>
        <v>0</v>
      </c>
      <c r="DU8" s="74">
        <f>Proforma!DS4</f>
        <v>0</v>
      </c>
      <c r="DV8" s="74">
        <f>Proforma!DT4</f>
        <v>0</v>
      </c>
      <c r="DW8" s="74">
        <f>Proforma!DU4</f>
        <v>0</v>
      </c>
      <c r="DX8" s="74">
        <f>Proforma!DV4</f>
        <v>0</v>
      </c>
      <c r="DY8" s="74">
        <f>Proforma!DW4</f>
        <v>0</v>
      </c>
      <c r="DZ8" s="74">
        <f>Proforma!DX4</f>
        <v>0</v>
      </c>
      <c r="EA8" s="74">
        <f>Proforma!DY4</f>
        <v>0</v>
      </c>
      <c r="EB8" s="74">
        <f>Proforma!DZ4</f>
        <v>0</v>
      </c>
      <c r="EC8" s="74">
        <f>Proforma!EA4</f>
        <v>0</v>
      </c>
      <c r="ED8" s="74">
        <f>Proforma!EB4</f>
        <v>0</v>
      </c>
      <c r="EE8" s="74">
        <f>Proforma!EC4</f>
        <v>0</v>
      </c>
      <c r="EF8" s="74">
        <f>Proforma!ED4</f>
        <v>0</v>
      </c>
      <c r="EG8" s="74">
        <f>Proforma!EE4</f>
        <v>0</v>
      </c>
      <c r="EH8" s="74">
        <f>Proforma!EF4</f>
        <v>0</v>
      </c>
      <c r="EI8" s="74">
        <f>Proforma!EG4</f>
        <v>0</v>
      </c>
      <c r="EJ8" s="74">
        <f>Proforma!EH4</f>
        <v>0</v>
      </c>
      <c r="EK8" s="74">
        <f>Proforma!EI4</f>
        <v>0</v>
      </c>
      <c r="EL8" s="74">
        <f>Proforma!EJ4</f>
        <v>0</v>
      </c>
      <c r="EM8" s="74">
        <f>Proforma!EK4</f>
        <v>0</v>
      </c>
      <c r="EN8" s="74">
        <f>Proforma!EL4</f>
        <v>0</v>
      </c>
      <c r="EO8" s="74">
        <f>Proforma!EM4</f>
        <v>0</v>
      </c>
      <c r="EP8" s="74">
        <f>Proforma!EN4</f>
        <v>0</v>
      </c>
      <c r="EQ8" s="74">
        <f>Proforma!EO4</f>
        <v>0</v>
      </c>
      <c r="ER8" s="74">
        <f>Proforma!EP4</f>
        <v>0</v>
      </c>
      <c r="ES8" s="74">
        <f>Proforma!EQ4</f>
        <v>0</v>
      </c>
      <c r="ET8" s="74">
        <f>Proforma!ER4</f>
        <v>0</v>
      </c>
      <c r="EU8"/>
      <c r="EV8"/>
      <c r="EW8"/>
      <c r="EX8"/>
      <c r="EY8"/>
      <c r="EZ8"/>
      <c r="FA8"/>
      <c r="FB8"/>
      <c r="FC8"/>
      <c r="FD8"/>
      <c r="FE8"/>
      <c r="FF8"/>
      <c r="FG8"/>
      <c r="FH8"/>
      <c r="FI8"/>
      <c r="FJ8"/>
      <c r="FK8"/>
      <c r="FL8"/>
    </row>
    <row r="9" spans="2:168" s="190" customFormat="1" x14ac:dyDescent="0.3">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c r="EM9" s="44"/>
      <c r="EN9" s="44"/>
      <c r="EO9" s="44"/>
      <c r="EP9" s="44"/>
      <c r="EQ9" s="44"/>
      <c r="ER9" s="44"/>
      <c r="ES9" s="44"/>
      <c r="ET9" s="44"/>
    </row>
    <row r="11" spans="2:168" s="37" customFormat="1" x14ac:dyDescent="0.3">
      <c r="B11" s="190"/>
      <c r="C11"/>
      <c r="E11" s="37" t="s">
        <v>81</v>
      </c>
      <c r="G11" s="45">
        <f>'Property Summary'!B41</f>
        <v>-1069604922.0076392</v>
      </c>
      <c r="H11" s="45">
        <f>'Property Summary'!C41</f>
        <v>41812835.45946525</v>
      </c>
      <c r="I11" s="45">
        <f>'Property Summary'!D41</f>
        <v>65693328.45946525</v>
      </c>
      <c r="J11" s="45">
        <f>'Property Summary'!E41</f>
        <v>85197940.099465236</v>
      </c>
      <c r="K11" s="45">
        <f>'Property Summary'!F41</f>
        <v>90801618.236685827</v>
      </c>
      <c r="L11" s="45">
        <f>'Property Summary'!G41</f>
        <v>95901412.337741837</v>
      </c>
      <c r="M11" s="45">
        <f>'Property Summary'!H41</f>
        <v>12279767.120818958</v>
      </c>
      <c r="N11" s="45">
        <f>'Property Summary'!I41</f>
        <v>94606882.959557623</v>
      </c>
      <c r="O11" s="45">
        <f>'Property Summary'!J41</f>
        <v>97694951.91507107</v>
      </c>
      <c r="P11" s="45">
        <f>'Property Summary'!K41</f>
        <v>101460279.04969478</v>
      </c>
      <c r="Q11" s="45">
        <f>'Property Summary'!L41</f>
        <v>1589402304.2161322</v>
      </c>
      <c r="R11" s="45">
        <f>'Property Summary'!M41</f>
        <v>0</v>
      </c>
      <c r="S11" s="45">
        <f>'Property Summary'!N41</f>
        <v>0</v>
      </c>
      <c r="T11" s="45">
        <f>'Property Summary'!O41</f>
        <v>0</v>
      </c>
      <c r="U11" s="45">
        <f>'Property Summary'!P41</f>
        <v>0</v>
      </c>
      <c r="V11" s="45">
        <f>'Property Summary'!Q41</f>
        <v>0</v>
      </c>
      <c r="W11" s="45">
        <f>'Property Summary'!R41</f>
        <v>0</v>
      </c>
      <c r="X11" s="45">
        <f>'Property Summary'!S41</f>
        <v>0</v>
      </c>
      <c r="Y11" s="45">
        <f>'Property Summary'!T41</f>
        <v>0</v>
      </c>
      <c r="Z11" s="45">
        <f>'Property Summary'!U41</f>
        <v>0</v>
      </c>
      <c r="AA11" s="45">
        <f>'Property Summary'!V41</f>
        <v>0</v>
      </c>
      <c r="AB11" s="45">
        <f>'Property Summary'!W41</f>
        <v>0</v>
      </c>
      <c r="AC11" s="45">
        <f>'Property Summary'!X41</f>
        <v>0</v>
      </c>
      <c r="AD11" s="45">
        <f>'Property Summary'!Y41</f>
        <v>0</v>
      </c>
      <c r="AE11" s="45">
        <f>'Property Summary'!Z41</f>
        <v>0</v>
      </c>
      <c r="AF11" s="45">
        <f>'Property Summary'!AA41</f>
        <v>0</v>
      </c>
      <c r="AG11" s="45">
        <f>'Property Summary'!AB41</f>
        <v>0</v>
      </c>
      <c r="AH11" s="45">
        <f>'Property Summary'!AC41</f>
        <v>0</v>
      </c>
      <c r="AI11" s="45">
        <f>'Property Summary'!AD41</f>
        <v>0</v>
      </c>
      <c r="AJ11" s="45">
        <f>'Property Summary'!AE41</f>
        <v>0</v>
      </c>
      <c r="AK11" s="45">
        <f>'Property Summary'!AF41</f>
        <v>0</v>
      </c>
      <c r="AL11" s="45">
        <f>'Property Summary'!AG41</f>
        <v>0</v>
      </c>
      <c r="AM11" s="45">
        <f>'Property Summary'!AH41</f>
        <v>0</v>
      </c>
      <c r="AN11" s="45">
        <f>'Property Summary'!AI41</f>
        <v>0</v>
      </c>
      <c r="AO11" s="45">
        <f>'Property Summary'!AJ41</f>
        <v>0</v>
      </c>
      <c r="AP11" s="45">
        <f>'Property Summary'!AK41</f>
        <v>0</v>
      </c>
      <c r="AQ11" s="45">
        <f>'Property Summary'!AL41</f>
        <v>0</v>
      </c>
      <c r="AR11" s="45">
        <f>'Property Summary'!AM41</f>
        <v>0</v>
      </c>
      <c r="AS11" s="45">
        <f>'Property Summary'!AN41</f>
        <v>0</v>
      </c>
      <c r="AT11" s="45">
        <f>'Property Summary'!AO41</f>
        <v>0</v>
      </c>
      <c r="AU11" s="45">
        <f>'Property Summary'!AP41</f>
        <v>0</v>
      </c>
      <c r="AV11" s="45">
        <f>'Property Summary'!AQ41</f>
        <v>0</v>
      </c>
      <c r="AW11" s="45">
        <f>'Property Summary'!AR41</f>
        <v>0</v>
      </c>
      <c r="AX11" s="45">
        <f>'Property Summary'!AS41</f>
        <v>0</v>
      </c>
      <c r="AY11" s="45">
        <f>'Property Summary'!AT41</f>
        <v>0</v>
      </c>
      <c r="AZ11" s="45">
        <f>'Property Summary'!AU41</f>
        <v>0</v>
      </c>
      <c r="BA11" s="45">
        <f>'Property Summary'!AV41</f>
        <v>0</v>
      </c>
      <c r="BB11" s="45">
        <f>'Property Summary'!AW41</f>
        <v>0</v>
      </c>
      <c r="BC11" s="45">
        <f>'Property Summary'!AX41</f>
        <v>0</v>
      </c>
      <c r="BD11" s="45">
        <f>'Property Summary'!AY41</f>
        <v>0</v>
      </c>
      <c r="BE11" s="45">
        <f>'Property Summary'!AZ41</f>
        <v>0</v>
      </c>
      <c r="BF11" s="45">
        <f>'Property Summary'!BA41</f>
        <v>0</v>
      </c>
      <c r="BG11" s="45">
        <f>'Property Summary'!BB41</f>
        <v>0</v>
      </c>
      <c r="BH11" s="45">
        <f>'Property Summary'!BC41</f>
        <v>0</v>
      </c>
      <c r="BI11" s="45">
        <f>'Property Summary'!BD41</f>
        <v>0</v>
      </c>
      <c r="BJ11" s="45">
        <f>'Property Summary'!BE41</f>
        <v>0</v>
      </c>
      <c r="BK11" s="45">
        <f>'Property Summary'!BF41</f>
        <v>0</v>
      </c>
      <c r="BL11" s="45">
        <f>'Property Summary'!BG41</f>
        <v>0</v>
      </c>
      <c r="BM11" s="45">
        <f>'Property Summary'!BH41</f>
        <v>0</v>
      </c>
      <c r="BN11" s="45">
        <f>'Property Summary'!BI41</f>
        <v>0</v>
      </c>
      <c r="BO11" s="45">
        <f>'Property Summary'!BJ41</f>
        <v>0</v>
      </c>
      <c r="BP11" s="45">
        <f>'Property Summary'!BK41</f>
        <v>0</v>
      </c>
      <c r="BQ11" s="45">
        <f>'Property Summary'!BL41</f>
        <v>0</v>
      </c>
      <c r="BR11" s="45">
        <f>'Property Summary'!BM41</f>
        <v>0</v>
      </c>
      <c r="BS11" s="45">
        <f>'Property Summary'!BN41</f>
        <v>0</v>
      </c>
      <c r="BT11" s="45">
        <f>'Property Summary'!BO41</f>
        <v>0</v>
      </c>
      <c r="BU11" s="45">
        <f>'Property Summary'!BP41</f>
        <v>0</v>
      </c>
      <c r="BV11" s="45">
        <f>'Property Summary'!BQ41</f>
        <v>0</v>
      </c>
      <c r="BW11" s="45">
        <f>'Property Summary'!BR41</f>
        <v>0</v>
      </c>
      <c r="BX11" s="45">
        <f>'Property Summary'!BS41</f>
        <v>0</v>
      </c>
      <c r="BY11" s="45">
        <f>'Property Summary'!BT41</f>
        <v>0</v>
      </c>
      <c r="BZ11" s="45">
        <f>'Property Summary'!BU41</f>
        <v>0</v>
      </c>
      <c r="CA11" s="45">
        <f>'Property Summary'!BV41</f>
        <v>0</v>
      </c>
      <c r="CB11" s="45">
        <f>'Property Summary'!BW41</f>
        <v>0</v>
      </c>
      <c r="CC11" s="45">
        <f>'Property Summary'!BX41</f>
        <v>0</v>
      </c>
      <c r="CD11" s="45">
        <f>'Property Summary'!BY41</f>
        <v>0</v>
      </c>
      <c r="CE11" s="45">
        <f>'Property Summary'!BZ41</f>
        <v>0</v>
      </c>
      <c r="CF11" s="45">
        <f>'Property Summary'!CA41</f>
        <v>0</v>
      </c>
      <c r="CG11" s="45">
        <f>'Property Summary'!CB41</f>
        <v>0</v>
      </c>
      <c r="CH11" s="45">
        <f>'Property Summary'!CC41</f>
        <v>0</v>
      </c>
      <c r="CI11" s="45">
        <f>'Property Summary'!CD41</f>
        <v>0</v>
      </c>
      <c r="CJ11" s="45">
        <f>'Property Summary'!CE41</f>
        <v>0</v>
      </c>
      <c r="CK11" s="45">
        <f>'Property Summary'!CF41</f>
        <v>0</v>
      </c>
      <c r="CL11" s="45">
        <f>'Property Summary'!CG41</f>
        <v>0</v>
      </c>
      <c r="CM11" s="45">
        <f>'Property Summary'!CH41</f>
        <v>0</v>
      </c>
      <c r="CN11" s="45">
        <f>'Property Summary'!CI41</f>
        <v>0</v>
      </c>
      <c r="CO11" s="45">
        <f>'Property Summary'!CJ41</f>
        <v>0</v>
      </c>
      <c r="CP11" s="45">
        <f>'Property Summary'!CK41</f>
        <v>0</v>
      </c>
      <c r="CQ11" s="45">
        <f>'Property Summary'!CL41</f>
        <v>0</v>
      </c>
      <c r="CR11" s="45">
        <f>'Property Summary'!CM41</f>
        <v>0</v>
      </c>
      <c r="CS11" s="45">
        <f>'Property Summary'!CN41</f>
        <v>0</v>
      </c>
      <c r="CT11" s="45">
        <f>'Property Summary'!CO41</f>
        <v>0</v>
      </c>
      <c r="CU11" s="45">
        <f>'Property Summary'!CP41</f>
        <v>0</v>
      </c>
      <c r="CV11" s="45">
        <f>'Property Summary'!CQ41</f>
        <v>0</v>
      </c>
      <c r="CW11" s="45">
        <f>'Property Summary'!CR41</f>
        <v>0</v>
      </c>
      <c r="CX11" s="45">
        <f>'Property Summary'!CS41</f>
        <v>0</v>
      </c>
      <c r="CY11" s="45">
        <f>'Property Summary'!CT41</f>
        <v>0</v>
      </c>
      <c r="CZ11" s="45">
        <f>'Property Summary'!CU41</f>
        <v>0</v>
      </c>
      <c r="DA11" s="45">
        <f>'Property Summary'!CV41</f>
        <v>0</v>
      </c>
      <c r="DB11" s="45">
        <f>'Property Summary'!CW41</f>
        <v>0</v>
      </c>
      <c r="DC11" s="45">
        <f>'Property Summary'!CX41</f>
        <v>0</v>
      </c>
      <c r="DD11" s="45">
        <f>'Property Summary'!CY41</f>
        <v>0</v>
      </c>
      <c r="DE11" s="45">
        <f>'Property Summary'!CZ41</f>
        <v>0</v>
      </c>
      <c r="DF11" s="45">
        <f>'Property Summary'!DA41</f>
        <v>0</v>
      </c>
      <c r="DG11" s="45">
        <f>'Property Summary'!DB41</f>
        <v>0</v>
      </c>
      <c r="DH11" s="45">
        <f>'Property Summary'!DC41</f>
        <v>0</v>
      </c>
      <c r="DI11" s="45">
        <f>'Property Summary'!DD41</f>
        <v>0</v>
      </c>
      <c r="DJ11" s="45">
        <f>'Property Summary'!DE41</f>
        <v>0</v>
      </c>
      <c r="DK11" s="45">
        <f>'Property Summary'!DF41</f>
        <v>0</v>
      </c>
      <c r="DL11" s="45">
        <f>'Property Summary'!DG41</f>
        <v>0</v>
      </c>
      <c r="DM11" s="45">
        <f>'Property Summary'!DH41</f>
        <v>0</v>
      </c>
      <c r="DN11" s="45">
        <f>'Property Summary'!DI41</f>
        <v>0</v>
      </c>
      <c r="DO11" s="45">
        <f>'Property Summary'!DJ41</f>
        <v>0</v>
      </c>
      <c r="DP11" s="45">
        <f>'Property Summary'!DK41</f>
        <v>0</v>
      </c>
      <c r="DQ11" s="45">
        <f>'Property Summary'!DL41</f>
        <v>0</v>
      </c>
      <c r="DR11" s="45">
        <f>'Property Summary'!DM41</f>
        <v>0</v>
      </c>
      <c r="DS11" s="45">
        <f>'Property Summary'!DN41</f>
        <v>0</v>
      </c>
      <c r="DT11" s="45">
        <f>'Property Summary'!DO41</f>
        <v>0</v>
      </c>
      <c r="DU11" s="45">
        <f>'Property Summary'!DP41</f>
        <v>0</v>
      </c>
      <c r="DV11" s="45">
        <f>'Property Summary'!DQ41</f>
        <v>0</v>
      </c>
      <c r="DW11" s="45">
        <f>'Property Summary'!DR41</f>
        <v>0</v>
      </c>
      <c r="DX11" s="45">
        <f>'Property Summary'!DS41</f>
        <v>0</v>
      </c>
      <c r="DY11" s="45">
        <f>'Property Summary'!DT41</f>
        <v>0</v>
      </c>
      <c r="DZ11" s="45">
        <f>'Property Summary'!DU41</f>
        <v>0</v>
      </c>
      <c r="EA11" s="45">
        <f>'Property Summary'!DV41</f>
        <v>0</v>
      </c>
      <c r="EB11" s="45">
        <f>'Property Summary'!DW41</f>
        <v>0</v>
      </c>
      <c r="EC11" s="45">
        <f>'Property Summary'!DX41</f>
        <v>0</v>
      </c>
      <c r="ED11" s="45">
        <f>'Property Summary'!DY41</f>
        <v>0</v>
      </c>
      <c r="EE11" s="45">
        <f>'Property Summary'!DZ41</f>
        <v>0</v>
      </c>
      <c r="EF11" s="45">
        <f>'Property Summary'!EA41</f>
        <v>0</v>
      </c>
      <c r="EG11" s="45">
        <f>'Property Summary'!EB41</f>
        <v>0</v>
      </c>
      <c r="EH11" s="45">
        <f>'Property Summary'!EC41</f>
        <v>0</v>
      </c>
      <c r="EI11" s="45">
        <f>'Property Summary'!ED41</f>
        <v>0</v>
      </c>
      <c r="EJ11" s="45">
        <f>'Property Summary'!EE41</f>
        <v>0</v>
      </c>
      <c r="EK11" s="45">
        <f>'Property Summary'!EF41</f>
        <v>0</v>
      </c>
      <c r="EL11" s="45">
        <f>'Property Summary'!EG41</f>
        <v>0</v>
      </c>
      <c r="EM11" s="45">
        <f>'Property Summary'!EH41</f>
        <v>0</v>
      </c>
      <c r="EN11" s="45">
        <f>'Property Summary'!EI41</f>
        <v>0</v>
      </c>
      <c r="EO11" s="45">
        <f>'Property Summary'!EJ41</f>
        <v>0</v>
      </c>
      <c r="EP11" s="45">
        <f>'Property Summary'!EK41</f>
        <v>0</v>
      </c>
      <c r="EQ11" s="45">
        <f>'Property Summary'!EL41</f>
        <v>0</v>
      </c>
      <c r="ER11" s="45">
        <f>'Property Summary'!EM41</f>
        <v>0</v>
      </c>
      <c r="ES11" s="45">
        <f>'Property Summary'!EN41</f>
        <v>0</v>
      </c>
      <c r="ET11" s="45">
        <f>'Property Summary'!EO41</f>
        <v>0</v>
      </c>
      <c r="EU11" s="190"/>
      <c r="EV11" s="190" t="s">
        <v>82</v>
      </c>
    </row>
    <row r="12" spans="2:168" x14ac:dyDescent="0.3">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193"/>
      <c r="AW12" s="193"/>
      <c r="AX12" s="193"/>
      <c r="AY12" s="193"/>
      <c r="AZ12" s="193"/>
      <c r="BA12" s="193"/>
      <c r="BB12" s="193"/>
      <c r="BC12" s="193"/>
      <c r="BD12" s="193"/>
      <c r="BE12" s="193"/>
      <c r="BF12" s="193"/>
      <c r="BG12" s="193"/>
      <c r="BH12" s="193"/>
      <c r="BI12" s="193"/>
      <c r="BJ12" s="193"/>
      <c r="BK12" s="193"/>
      <c r="BL12" s="193"/>
      <c r="BM12" s="193"/>
      <c r="BN12" s="193"/>
      <c r="BO12" s="193"/>
      <c r="BP12" s="193"/>
      <c r="BQ12" s="193"/>
      <c r="BR12" s="193"/>
      <c r="BS12" s="193"/>
      <c r="BT12" s="193"/>
      <c r="BU12" s="193"/>
      <c r="BV12" s="193"/>
      <c r="BW12" s="193"/>
      <c r="BX12" s="193"/>
      <c r="BY12" s="193"/>
      <c r="BZ12" s="193"/>
      <c r="CA12" s="193"/>
      <c r="CB12" s="193"/>
      <c r="CC12" s="193"/>
      <c r="CD12" s="193"/>
      <c r="CE12" s="193"/>
      <c r="CF12" s="193"/>
      <c r="CG12" s="193"/>
      <c r="CH12" s="193"/>
      <c r="CI12" s="193"/>
      <c r="CJ12" s="193"/>
      <c r="CK12" s="193"/>
      <c r="CL12" s="193"/>
      <c r="CM12" s="193"/>
      <c r="CN12" s="193"/>
      <c r="CO12" s="193"/>
      <c r="CP12" s="193"/>
      <c r="CQ12" s="193"/>
      <c r="CR12" s="193"/>
      <c r="CS12" s="193"/>
      <c r="CT12" s="193"/>
      <c r="CU12" s="193"/>
      <c r="CV12" s="193"/>
      <c r="CW12" s="193"/>
      <c r="CX12" s="193"/>
      <c r="CY12" s="193"/>
      <c r="CZ12" s="193"/>
      <c r="DA12" s="193"/>
      <c r="DB12" s="193"/>
      <c r="DC12" s="193"/>
      <c r="DD12" s="193"/>
      <c r="DE12" s="193"/>
      <c r="DF12" s="193"/>
      <c r="DG12" s="193"/>
      <c r="DH12" s="193"/>
      <c r="DI12" s="193"/>
      <c r="DJ12" s="193"/>
      <c r="DK12" s="193"/>
      <c r="DL12" s="193"/>
      <c r="DM12" s="193"/>
      <c r="DN12" s="193"/>
      <c r="DO12" s="193"/>
      <c r="DP12" s="193"/>
      <c r="DQ12" s="193"/>
      <c r="DR12" s="193"/>
      <c r="DS12" s="193"/>
      <c r="DT12" s="193"/>
      <c r="DU12" s="193"/>
      <c r="DV12" s="193"/>
      <c r="DW12" s="193"/>
      <c r="DX12" s="193"/>
      <c r="DY12" s="193"/>
      <c r="DZ12" s="193"/>
      <c r="EA12" s="193"/>
      <c r="EB12" s="193"/>
      <c r="EC12" s="193"/>
      <c r="ED12" s="193"/>
      <c r="EE12" s="193"/>
      <c r="EF12" s="193"/>
      <c r="EG12" s="193"/>
      <c r="EH12" s="193"/>
      <c r="EI12" s="193"/>
      <c r="EJ12" s="193"/>
      <c r="EK12" s="193"/>
      <c r="EL12" s="193"/>
      <c r="EM12" s="193"/>
      <c r="EN12" s="193"/>
      <c r="EO12" s="193"/>
      <c r="EP12" s="193"/>
      <c r="EQ12" s="193"/>
      <c r="ER12" s="193"/>
      <c r="ES12" s="193"/>
      <c r="ET12" s="193"/>
      <c r="EU12" s="190"/>
      <c r="EV12" s="190" t="s">
        <v>82</v>
      </c>
    </row>
    <row r="13" spans="2:168" x14ac:dyDescent="0.3">
      <c r="C13" s="194"/>
      <c r="E13" s="195" t="s">
        <v>83</v>
      </c>
      <c r="F13" s="192"/>
      <c r="G13" s="47">
        <f>XIRR($G$11:$R$11,$G$8:$R$8)</f>
        <v>9.5341792702674844E-2</v>
      </c>
      <c r="H13" s="196"/>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46"/>
      <c r="AN13" s="46"/>
      <c r="AO13" s="46"/>
      <c r="AP13" s="46"/>
      <c r="AQ13" s="46"/>
      <c r="AR13" s="46"/>
      <c r="AS13" s="46"/>
      <c r="AT13" s="46"/>
      <c r="AU13" s="46"/>
      <c r="AV13" s="193"/>
      <c r="AW13" s="193"/>
      <c r="AX13" s="193"/>
      <c r="AY13" s="193"/>
      <c r="AZ13" s="193"/>
      <c r="BA13" s="193"/>
      <c r="BB13" s="193"/>
      <c r="BC13" s="193"/>
      <c r="BD13" s="193"/>
      <c r="BE13" s="193"/>
      <c r="BF13" s="193"/>
      <c r="BG13" s="193"/>
      <c r="BH13" s="193"/>
      <c r="BI13" s="193"/>
      <c r="BJ13" s="193"/>
      <c r="BK13" s="193"/>
      <c r="BL13" s="193"/>
      <c r="BM13" s="193"/>
      <c r="BN13" s="193"/>
      <c r="BO13" s="193"/>
      <c r="BP13" s="193"/>
      <c r="BQ13" s="193"/>
      <c r="BR13" s="193"/>
      <c r="BS13" s="193"/>
      <c r="BT13" s="193"/>
      <c r="BU13" s="193"/>
      <c r="BV13" s="193"/>
      <c r="BW13" s="193"/>
      <c r="BX13" s="193"/>
      <c r="BY13" s="193"/>
      <c r="BZ13" s="193"/>
      <c r="CA13" s="193"/>
      <c r="CB13" s="193"/>
      <c r="CC13" s="193"/>
      <c r="CD13" s="193"/>
      <c r="CE13" s="193"/>
      <c r="CF13" s="193"/>
      <c r="CG13" s="193"/>
      <c r="CH13" s="193"/>
      <c r="CI13" s="193"/>
      <c r="CJ13" s="193"/>
      <c r="CK13" s="193"/>
      <c r="CL13" s="193"/>
      <c r="CM13" s="193"/>
      <c r="CN13" s="193"/>
      <c r="CO13" s="193"/>
      <c r="CP13" s="193"/>
      <c r="CQ13" s="193"/>
      <c r="CR13" s="193"/>
      <c r="CS13" s="193"/>
      <c r="CT13" s="193"/>
      <c r="CU13" s="193"/>
      <c r="CV13" s="193"/>
      <c r="CW13" s="193"/>
      <c r="CX13" s="193"/>
      <c r="CY13" s="193"/>
      <c r="CZ13" s="193"/>
      <c r="DA13" s="193"/>
      <c r="DB13" s="193"/>
      <c r="DC13" s="193"/>
      <c r="DD13" s="193"/>
      <c r="DE13" s="193"/>
      <c r="DF13" s="193"/>
      <c r="DG13" s="193"/>
      <c r="DH13" s="193"/>
      <c r="DI13" s="193"/>
      <c r="DJ13" s="193"/>
      <c r="DK13" s="193"/>
      <c r="DL13" s="193"/>
      <c r="DM13" s="193"/>
      <c r="DN13" s="193"/>
      <c r="DO13" s="193"/>
      <c r="DP13" s="193"/>
      <c r="DQ13" s="193"/>
      <c r="DR13" s="193"/>
      <c r="DS13" s="193"/>
      <c r="DT13" s="193"/>
      <c r="DU13" s="193"/>
      <c r="DV13" s="193"/>
      <c r="DW13" s="193"/>
      <c r="DX13" s="193"/>
      <c r="DY13" s="193"/>
      <c r="DZ13" s="193"/>
      <c r="EA13" s="193"/>
      <c r="EB13" s="193"/>
      <c r="EC13" s="193"/>
      <c r="ED13" s="193"/>
      <c r="EE13" s="193"/>
      <c r="EF13" s="193"/>
      <c r="EG13" s="193"/>
      <c r="EH13" s="193"/>
      <c r="EI13" s="193"/>
      <c r="EJ13" s="193"/>
      <c r="EK13" s="193"/>
      <c r="EL13" s="193"/>
      <c r="EM13" s="193"/>
      <c r="EN13" s="193"/>
      <c r="EO13" s="193"/>
      <c r="EP13" s="193"/>
      <c r="EQ13" s="193"/>
      <c r="ER13" s="193"/>
      <c r="ES13" s="193"/>
      <c r="ET13" s="193"/>
      <c r="EU13" s="190"/>
      <c r="EV13" s="190" t="s">
        <v>82</v>
      </c>
    </row>
    <row r="14" spans="2:168" x14ac:dyDescent="0.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W14" s="193"/>
      <c r="AX14" s="193"/>
      <c r="AY14" s="193"/>
      <c r="AZ14" s="193"/>
      <c r="BA14" s="193"/>
      <c r="BB14" s="193"/>
      <c r="BC14" s="193"/>
      <c r="BD14" s="193"/>
      <c r="BE14" s="193"/>
      <c r="BF14" s="193"/>
      <c r="BG14" s="193"/>
      <c r="BH14" s="193"/>
      <c r="BI14" s="193"/>
      <c r="BJ14" s="193"/>
      <c r="BK14" s="193"/>
      <c r="BL14" s="193"/>
      <c r="BM14" s="193"/>
      <c r="BN14" s="193"/>
      <c r="BO14" s="193"/>
      <c r="BP14" s="193"/>
      <c r="BQ14" s="193"/>
      <c r="BR14" s="193"/>
      <c r="BS14" s="193"/>
      <c r="BT14" s="193"/>
      <c r="BU14" s="193"/>
      <c r="BV14" s="193"/>
      <c r="BW14" s="193"/>
      <c r="BX14" s="193"/>
      <c r="BY14" s="193"/>
      <c r="BZ14" s="193"/>
      <c r="CA14" s="193"/>
      <c r="CB14" s="193"/>
      <c r="CC14" s="193"/>
      <c r="CD14" s="193"/>
      <c r="CE14" s="193"/>
      <c r="CF14" s="193"/>
      <c r="CG14" s="193"/>
      <c r="CH14" s="193"/>
      <c r="CI14" s="193"/>
      <c r="CJ14" s="193"/>
      <c r="CK14" s="193"/>
      <c r="CL14" s="193"/>
      <c r="CM14" s="193"/>
      <c r="CN14" s="193"/>
      <c r="CO14" s="193"/>
      <c r="CP14" s="193"/>
      <c r="CQ14" s="193"/>
      <c r="CR14" s="193"/>
      <c r="CS14" s="193"/>
      <c r="CT14" s="193"/>
      <c r="CU14" s="193"/>
      <c r="CV14" s="193"/>
      <c r="CW14" s="193"/>
      <c r="CX14" s="193"/>
      <c r="CY14" s="193"/>
      <c r="CZ14" s="193"/>
      <c r="DA14" s="193"/>
      <c r="DB14" s="193"/>
      <c r="DC14" s="193"/>
      <c r="DD14" s="193"/>
      <c r="DE14" s="193"/>
      <c r="DF14" s="193"/>
      <c r="DG14" s="193"/>
      <c r="DH14" s="193"/>
      <c r="DI14" s="193"/>
      <c r="DJ14" s="193"/>
      <c r="DK14" s="193"/>
      <c r="DL14" s="193"/>
      <c r="DM14" s="193"/>
      <c r="DN14" s="193"/>
      <c r="DO14" s="193"/>
      <c r="DP14" s="193"/>
      <c r="DQ14" s="193"/>
      <c r="DR14" s="193"/>
      <c r="DS14" s="193"/>
      <c r="DT14" s="193"/>
      <c r="DU14" s="193"/>
      <c r="DV14" s="193"/>
      <c r="DW14" s="193"/>
      <c r="DX14" s="193"/>
      <c r="DY14" s="193"/>
      <c r="DZ14" s="193"/>
      <c r="EA14" s="193"/>
      <c r="EB14" s="193"/>
      <c r="EC14" s="193"/>
      <c r="ED14" s="193"/>
      <c r="EE14" s="193"/>
      <c r="EF14" s="193"/>
      <c r="EG14" s="193"/>
      <c r="EH14" s="193"/>
      <c r="EI14" s="193"/>
      <c r="EJ14" s="193"/>
      <c r="EK14" s="193"/>
      <c r="EL14" s="193"/>
      <c r="EM14" s="193"/>
      <c r="EN14" s="193"/>
      <c r="EO14" s="193"/>
      <c r="EP14" s="193"/>
      <c r="EQ14" s="193"/>
      <c r="ER14" s="193"/>
      <c r="ES14" s="193"/>
      <c r="ET14" s="193"/>
      <c r="EV14" s="190" t="s">
        <v>82</v>
      </c>
    </row>
    <row r="15" spans="2:168" x14ac:dyDescent="0.3">
      <c r="G15" s="193"/>
      <c r="H15" s="193"/>
      <c r="I15" s="193"/>
      <c r="J15" s="193"/>
      <c r="K15" s="193"/>
      <c r="L15" s="193"/>
      <c r="M15" s="193"/>
      <c r="N15" s="193"/>
      <c r="O15" s="193"/>
      <c r="P15" s="193"/>
      <c r="Q15" s="193"/>
      <c r="R15" s="193"/>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c r="BK15" s="193"/>
      <c r="BL15" s="193"/>
      <c r="BM15" s="193"/>
      <c r="BN15" s="193"/>
      <c r="BO15" s="193"/>
      <c r="BP15" s="193"/>
      <c r="BQ15" s="193"/>
      <c r="BR15" s="193"/>
      <c r="BS15" s="193"/>
      <c r="BT15" s="193"/>
      <c r="BU15" s="193"/>
      <c r="BV15" s="193"/>
      <c r="BW15" s="193"/>
      <c r="BX15" s="193"/>
      <c r="BY15" s="193"/>
      <c r="BZ15" s="193"/>
      <c r="CA15" s="193"/>
      <c r="CB15" s="193"/>
      <c r="CC15" s="193"/>
      <c r="CD15" s="193"/>
      <c r="CE15" s="193"/>
      <c r="CF15" s="193"/>
      <c r="CG15" s="193"/>
      <c r="CH15" s="193"/>
      <c r="CI15" s="193"/>
      <c r="CJ15" s="193"/>
      <c r="CK15" s="193"/>
      <c r="CL15" s="193"/>
      <c r="CM15" s="193"/>
      <c r="CN15" s="193"/>
      <c r="CO15" s="193"/>
      <c r="CP15" s="193"/>
      <c r="CQ15" s="193"/>
      <c r="CR15" s="193"/>
      <c r="CS15" s="193"/>
      <c r="CT15" s="193"/>
      <c r="CU15" s="193"/>
      <c r="CV15" s="193"/>
      <c r="CW15" s="193"/>
      <c r="CX15" s="193"/>
      <c r="CY15" s="193"/>
      <c r="CZ15" s="193"/>
      <c r="DA15" s="193"/>
      <c r="DB15" s="193"/>
      <c r="DC15" s="193"/>
      <c r="DD15" s="193"/>
      <c r="DE15" s="193"/>
      <c r="DF15" s="193"/>
      <c r="DG15" s="193"/>
      <c r="DH15" s="193"/>
      <c r="DI15" s="193"/>
      <c r="DJ15" s="193"/>
      <c r="DK15" s="193"/>
      <c r="DL15" s="193"/>
      <c r="DM15" s="193"/>
      <c r="DN15" s="193"/>
      <c r="DO15" s="193"/>
      <c r="DP15" s="193"/>
      <c r="DQ15" s="193"/>
      <c r="DR15" s="193"/>
      <c r="DS15" s="193"/>
      <c r="DT15" s="193"/>
      <c r="DU15" s="193"/>
      <c r="DV15" s="193"/>
      <c r="DW15" s="193"/>
      <c r="DX15" s="193"/>
      <c r="DY15" s="193"/>
      <c r="DZ15" s="193"/>
      <c r="EA15" s="193"/>
      <c r="EB15" s="193"/>
      <c r="EC15" s="193"/>
      <c r="ED15" s="193"/>
      <c r="EE15" s="193"/>
      <c r="EF15" s="193"/>
      <c r="EG15" s="193"/>
      <c r="EH15" s="193"/>
      <c r="EI15" s="193"/>
      <c r="EJ15" s="193"/>
      <c r="EK15" s="193"/>
      <c r="EL15" s="193"/>
      <c r="EM15" s="193"/>
      <c r="EN15" s="193"/>
      <c r="EO15" s="193"/>
      <c r="EP15" s="193"/>
      <c r="EQ15" s="193"/>
      <c r="ER15" s="193"/>
      <c r="ES15" s="193"/>
      <c r="ET15" s="193"/>
      <c r="EV15" s="190"/>
    </row>
    <row r="16" spans="2:168" s="190" customFormat="1" x14ac:dyDescent="0.3">
      <c r="E16" s="44" t="s">
        <v>84</v>
      </c>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V16" s="190" t="s">
        <v>82</v>
      </c>
    </row>
    <row r="17" spans="5:152" x14ac:dyDescent="0.3">
      <c r="E17" t="str">
        <f>$E$5</f>
        <v>Capital Partner</v>
      </c>
      <c r="G17" s="193">
        <f>G18/$F$4*$F$5</f>
        <v>-1016124675.9072572</v>
      </c>
      <c r="H17" s="193">
        <f t="shared" ref="H17:AL17" si="0">H18/$F$4*$F$5</f>
        <v>0</v>
      </c>
      <c r="I17" s="193">
        <f t="shared" si="0"/>
        <v>0</v>
      </c>
      <c r="J17" s="193">
        <f t="shared" si="0"/>
        <v>0</v>
      </c>
      <c r="K17" s="193">
        <f t="shared" si="0"/>
        <v>0</v>
      </c>
      <c r="L17" s="193">
        <f t="shared" si="0"/>
        <v>0</v>
      </c>
      <c r="M17" s="193">
        <f t="shared" si="0"/>
        <v>0</v>
      </c>
      <c r="N17" s="193">
        <f t="shared" si="0"/>
        <v>0</v>
      </c>
      <c r="O17" s="193">
        <f t="shared" si="0"/>
        <v>0</v>
      </c>
      <c r="P17" s="193">
        <f t="shared" si="0"/>
        <v>0</v>
      </c>
      <c r="Q17" s="193">
        <f t="shared" si="0"/>
        <v>0</v>
      </c>
      <c r="R17" s="193">
        <f t="shared" si="0"/>
        <v>0</v>
      </c>
      <c r="S17" s="193">
        <f t="shared" si="0"/>
        <v>0</v>
      </c>
      <c r="T17" s="193">
        <f t="shared" si="0"/>
        <v>0</v>
      </c>
      <c r="U17" s="193">
        <f t="shared" si="0"/>
        <v>0</v>
      </c>
      <c r="V17" s="193">
        <f t="shared" si="0"/>
        <v>0</v>
      </c>
      <c r="W17" s="193">
        <f t="shared" si="0"/>
        <v>0</v>
      </c>
      <c r="X17" s="193">
        <f t="shared" si="0"/>
        <v>0</v>
      </c>
      <c r="Y17" s="193">
        <f t="shared" si="0"/>
        <v>0</v>
      </c>
      <c r="Z17" s="193">
        <f t="shared" si="0"/>
        <v>0</v>
      </c>
      <c r="AA17" s="193">
        <f t="shared" si="0"/>
        <v>0</v>
      </c>
      <c r="AB17" s="193">
        <f t="shared" si="0"/>
        <v>0</v>
      </c>
      <c r="AC17" s="193">
        <f t="shared" si="0"/>
        <v>0</v>
      </c>
      <c r="AD17" s="193">
        <f t="shared" si="0"/>
        <v>0</v>
      </c>
      <c r="AE17" s="193">
        <f t="shared" si="0"/>
        <v>0</v>
      </c>
      <c r="AF17" s="193">
        <f t="shared" si="0"/>
        <v>0</v>
      </c>
      <c r="AG17" s="193">
        <f t="shared" si="0"/>
        <v>0</v>
      </c>
      <c r="AH17" s="193">
        <f t="shared" si="0"/>
        <v>0</v>
      </c>
      <c r="AI17" s="193">
        <f t="shared" si="0"/>
        <v>0</v>
      </c>
      <c r="AJ17" s="193">
        <f t="shared" si="0"/>
        <v>0</v>
      </c>
      <c r="AK17" s="193">
        <f t="shared" si="0"/>
        <v>0</v>
      </c>
      <c r="AL17" s="193">
        <f t="shared" si="0"/>
        <v>0</v>
      </c>
      <c r="AM17" s="193">
        <f t="shared" ref="AM17:BR17" si="1">AM18/$F$4*$F$5</f>
        <v>0</v>
      </c>
      <c r="AN17" s="193">
        <f t="shared" si="1"/>
        <v>0</v>
      </c>
      <c r="AO17" s="193">
        <f t="shared" si="1"/>
        <v>0</v>
      </c>
      <c r="AP17" s="193">
        <f t="shared" si="1"/>
        <v>0</v>
      </c>
      <c r="AQ17" s="193">
        <f t="shared" si="1"/>
        <v>0</v>
      </c>
      <c r="AR17" s="193">
        <f t="shared" si="1"/>
        <v>0</v>
      </c>
      <c r="AS17" s="193">
        <f t="shared" si="1"/>
        <v>0</v>
      </c>
      <c r="AT17" s="193">
        <f t="shared" si="1"/>
        <v>0</v>
      </c>
      <c r="AU17" s="193">
        <f t="shared" si="1"/>
        <v>0</v>
      </c>
      <c r="AV17" s="193">
        <f t="shared" si="1"/>
        <v>0</v>
      </c>
      <c r="AW17" s="193">
        <f t="shared" si="1"/>
        <v>0</v>
      </c>
      <c r="AX17" s="193">
        <f t="shared" si="1"/>
        <v>0</v>
      </c>
      <c r="AY17" s="193">
        <f t="shared" si="1"/>
        <v>0</v>
      </c>
      <c r="AZ17" s="193">
        <f t="shared" si="1"/>
        <v>0</v>
      </c>
      <c r="BA17" s="193">
        <f t="shared" si="1"/>
        <v>0</v>
      </c>
      <c r="BB17" s="193">
        <f t="shared" si="1"/>
        <v>0</v>
      </c>
      <c r="BC17" s="193">
        <f t="shared" si="1"/>
        <v>0</v>
      </c>
      <c r="BD17" s="193">
        <f t="shared" si="1"/>
        <v>0</v>
      </c>
      <c r="BE17" s="193">
        <f t="shared" si="1"/>
        <v>0</v>
      </c>
      <c r="BF17" s="193">
        <f t="shared" si="1"/>
        <v>0</v>
      </c>
      <c r="BG17" s="193">
        <f t="shared" si="1"/>
        <v>0</v>
      </c>
      <c r="BH17" s="193">
        <f t="shared" si="1"/>
        <v>0</v>
      </c>
      <c r="BI17" s="193">
        <f t="shared" si="1"/>
        <v>0</v>
      </c>
      <c r="BJ17" s="193">
        <f t="shared" si="1"/>
        <v>0</v>
      </c>
      <c r="BK17" s="193">
        <f t="shared" si="1"/>
        <v>0</v>
      </c>
      <c r="BL17" s="193">
        <f t="shared" si="1"/>
        <v>0</v>
      </c>
      <c r="BM17" s="193">
        <f t="shared" si="1"/>
        <v>0</v>
      </c>
      <c r="BN17" s="193">
        <f t="shared" si="1"/>
        <v>0</v>
      </c>
      <c r="BO17" s="193">
        <f t="shared" si="1"/>
        <v>0</v>
      </c>
      <c r="BP17" s="193">
        <f t="shared" si="1"/>
        <v>0</v>
      </c>
      <c r="BQ17" s="193">
        <f t="shared" si="1"/>
        <v>0</v>
      </c>
      <c r="BR17" s="193">
        <f t="shared" si="1"/>
        <v>0</v>
      </c>
      <c r="BS17" s="193">
        <f t="shared" ref="BS17:CX17" si="2">BS18/$F$4*$F$5</f>
        <v>0</v>
      </c>
      <c r="BT17" s="193">
        <f t="shared" si="2"/>
        <v>0</v>
      </c>
      <c r="BU17" s="193">
        <f t="shared" si="2"/>
        <v>0</v>
      </c>
      <c r="BV17" s="193">
        <f t="shared" si="2"/>
        <v>0</v>
      </c>
      <c r="BW17" s="193">
        <f t="shared" si="2"/>
        <v>0</v>
      </c>
      <c r="BX17" s="193">
        <f t="shared" si="2"/>
        <v>0</v>
      </c>
      <c r="BY17" s="193">
        <f t="shared" si="2"/>
        <v>0</v>
      </c>
      <c r="BZ17" s="193">
        <f t="shared" si="2"/>
        <v>0</v>
      </c>
      <c r="CA17" s="193">
        <f t="shared" si="2"/>
        <v>0</v>
      </c>
      <c r="CB17" s="193">
        <f t="shared" si="2"/>
        <v>0</v>
      </c>
      <c r="CC17" s="193">
        <f t="shared" si="2"/>
        <v>0</v>
      </c>
      <c r="CD17" s="193">
        <f t="shared" si="2"/>
        <v>0</v>
      </c>
      <c r="CE17" s="193">
        <f t="shared" si="2"/>
        <v>0</v>
      </c>
      <c r="CF17" s="193">
        <f t="shared" si="2"/>
        <v>0</v>
      </c>
      <c r="CG17" s="193">
        <f t="shared" si="2"/>
        <v>0</v>
      </c>
      <c r="CH17" s="193">
        <f t="shared" si="2"/>
        <v>0</v>
      </c>
      <c r="CI17" s="193">
        <f t="shared" si="2"/>
        <v>0</v>
      </c>
      <c r="CJ17" s="193">
        <f t="shared" si="2"/>
        <v>0</v>
      </c>
      <c r="CK17" s="193">
        <f t="shared" si="2"/>
        <v>0</v>
      </c>
      <c r="CL17" s="193">
        <f t="shared" si="2"/>
        <v>0</v>
      </c>
      <c r="CM17" s="193">
        <f t="shared" si="2"/>
        <v>0</v>
      </c>
      <c r="CN17" s="193">
        <f t="shared" si="2"/>
        <v>0</v>
      </c>
      <c r="CO17" s="193">
        <f t="shared" si="2"/>
        <v>0</v>
      </c>
      <c r="CP17" s="193">
        <f t="shared" si="2"/>
        <v>0</v>
      </c>
      <c r="CQ17" s="193">
        <f t="shared" si="2"/>
        <v>0</v>
      </c>
      <c r="CR17" s="193">
        <f t="shared" si="2"/>
        <v>0</v>
      </c>
      <c r="CS17" s="193">
        <f t="shared" si="2"/>
        <v>0</v>
      </c>
      <c r="CT17" s="193">
        <f t="shared" si="2"/>
        <v>0</v>
      </c>
      <c r="CU17" s="193">
        <f t="shared" si="2"/>
        <v>0</v>
      </c>
      <c r="CV17" s="193">
        <f t="shared" si="2"/>
        <v>0</v>
      </c>
      <c r="CW17" s="193">
        <f t="shared" si="2"/>
        <v>0</v>
      </c>
      <c r="CX17" s="193">
        <f t="shared" si="2"/>
        <v>0</v>
      </c>
      <c r="CY17" s="193">
        <f t="shared" ref="CY17:ED17" si="3">CY18/$F$4*$F$5</f>
        <v>0</v>
      </c>
      <c r="CZ17" s="193">
        <f t="shared" si="3"/>
        <v>0</v>
      </c>
      <c r="DA17" s="193">
        <f t="shared" si="3"/>
        <v>0</v>
      </c>
      <c r="DB17" s="193">
        <f t="shared" si="3"/>
        <v>0</v>
      </c>
      <c r="DC17" s="193">
        <f t="shared" si="3"/>
        <v>0</v>
      </c>
      <c r="DD17" s="193">
        <f t="shared" si="3"/>
        <v>0</v>
      </c>
      <c r="DE17" s="193">
        <f t="shared" si="3"/>
        <v>0</v>
      </c>
      <c r="DF17" s="193">
        <f t="shared" si="3"/>
        <v>0</v>
      </c>
      <c r="DG17" s="193">
        <f t="shared" si="3"/>
        <v>0</v>
      </c>
      <c r="DH17" s="193">
        <f t="shared" si="3"/>
        <v>0</v>
      </c>
      <c r="DI17" s="193">
        <f t="shared" si="3"/>
        <v>0</v>
      </c>
      <c r="DJ17" s="193">
        <f t="shared" si="3"/>
        <v>0</v>
      </c>
      <c r="DK17" s="193">
        <f t="shared" si="3"/>
        <v>0</v>
      </c>
      <c r="DL17" s="193">
        <f t="shared" si="3"/>
        <v>0</v>
      </c>
      <c r="DM17" s="193">
        <f t="shared" si="3"/>
        <v>0</v>
      </c>
      <c r="DN17" s="193">
        <f t="shared" si="3"/>
        <v>0</v>
      </c>
      <c r="DO17" s="193">
        <f t="shared" si="3"/>
        <v>0</v>
      </c>
      <c r="DP17" s="193">
        <f t="shared" si="3"/>
        <v>0</v>
      </c>
      <c r="DQ17" s="193">
        <f t="shared" si="3"/>
        <v>0</v>
      </c>
      <c r="DR17" s="193">
        <f t="shared" si="3"/>
        <v>0</v>
      </c>
      <c r="DS17" s="193">
        <f t="shared" si="3"/>
        <v>0</v>
      </c>
      <c r="DT17" s="193">
        <f t="shared" si="3"/>
        <v>0</v>
      </c>
      <c r="DU17" s="193">
        <f t="shared" si="3"/>
        <v>0</v>
      </c>
      <c r="DV17" s="193">
        <f t="shared" si="3"/>
        <v>0</v>
      </c>
      <c r="DW17" s="193">
        <f t="shared" si="3"/>
        <v>0</v>
      </c>
      <c r="DX17" s="193">
        <f t="shared" si="3"/>
        <v>0</v>
      </c>
      <c r="DY17" s="193">
        <f t="shared" si="3"/>
        <v>0</v>
      </c>
      <c r="DZ17" s="193">
        <f t="shared" si="3"/>
        <v>0</v>
      </c>
      <c r="EA17" s="193">
        <f t="shared" si="3"/>
        <v>0</v>
      </c>
      <c r="EB17" s="193">
        <f t="shared" si="3"/>
        <v>0</v>
      </c>
      <c r="EC17" s="193">
        <f t="shared" si="3"/>
        <v>0</v>
      </c>
      <c r="ED17" s="193">
        <f t="shared" si="3"/>
        <v>0</v>
      </c>
      <c r="EE17" s="193">
        <f t="shared" ref="EE17:ET17" si="4">EE18/$F$4*$F$5</f>
        <v>0</v>
      </c>
      <c r="EF17" s="193">
        <f t="shared" si="4"/>
        <v>0</v>
      </c>
      <c r="EG17" s="193">
        <f t="shared" si="4"/>
        <v>0</v>
      </c>
      <c r="EH17" s="193">
        <f t="shared" si="4"/>
        <v>0</v>
      </c>
      <c r="EI17" s="193">
        <f t="shared" si="4"/>
        <v>0</v>
      </c>
      <c r="EJ17" s="193">
        <f t="shared" si="4"/>
        <v>0</v>
      </c>
      <c r="EK17" s="193">
        <f t="shared" si="4"/>
        <v>0</v>
      </c>
      <c r="EL17" s="193">
        <f t="shared" si="4"/>
        <v>0</v>
      </c>
      <c r="EM17" s="193">
        <f t="shared" si="4"/>
        <v>0</v>
      </c>
      <c r="EN17" s="193">
        <f t="shared" si="4"/>
        <v>0</v>
      </c>
      <c r="EO17" s="193">
        <f t="shared" si="4"/>
        <v>0</v>
      </c>
      <c r="EP17" s="193">
        <f t="shared" si="4"/>
        <v>0</v>
      </c>
      <c r="EQ17" s="193">
        <f t="shared" si="4"/>
        <v>0</v>
      </c>
      <c r="ER17" s="193">
        <f t="shared" si="4"/>
        <v>0</v>
      </c>
      <c r="ES17" s="193">
        <f t="shared" si="4"/>
        <v>0</v>
      </c>
      <c r="ET17" s="193">
        <f t="shared" si="4"/>
        <v>0</v>
      </c>
      <c r="EV17" s="190" t="s">
        <v>82</v>
      </c>
    </row>
    <row r="18" spans="5:152" x14ac:dyDescent="0.3">
      <c r="E18" t="str">
        <f>$E$4</f>
        <v>Sponsor</v>
      </c>
      <c r="G18" s="193">
        <f t="shared" ref="G18:AL18" si="5">IF(G11&lt;0,G11*$F$4,0)</f>
        <v>-53480246.100381963</v>
      </c>
      <c r="H18" s="193">
        <f t="shared" si="5"/>
        <v>0</v>
      </c>
      <c r="I18" s="193">
        <f t="shared" si="5"/>
        <v>0</v>
      </c>
      <c r="J18" s="193">
        <f t="shared" si="5"/>
        <v>0</v>
      </c>
      <c r="K18" s="193">
        <f t="shared" si="5"/>
        <v>0</v>
      </c>
      <c r="L18" s="193">
        <f t="shared" si="5"/>
        <v>0</v>
      </c>
      <c r="M18" s="193">
        <f t="shared" si="5"/>
        <v>0</v>
      </c>
      <c r="N18" s="193">
        <f t="shared" si="5"/>
        <v>0</v>
      </c>
      <c r="O18" s="193">
        <f t="shared" si="5"/>
        <v>0</v>
      </c>
      <c r="P18" s="193">
        <f t="shared" si="5"/>
        <v>0</v>
      </c>
      <c r="Q18" s="193">
        <f t="shared" si="5"/>
        <v>0</v>
      </c>
      <c r="R18" s="193">
        <f t="shared" si="5"/>
        <v>0</v>
      </c>
      <c r="S18" s="193">
        <f t="shared" si="5"/>
        <v>0</v>
      </c>
      <c r="T18" s="193">
        <f t="shared" si="5"/>
        <v>0</v>
      </c>
      <c r="U18" s="193">
        <f t="shared" si="5"/>
        <v>0</v>
      </c>
      <c r="V18" s="193">
        <f t="shared" si="5"/>
        <v>0</v>
      </c>
      <c r="W18" s="193">
        <f t="shared" si="5"/>
        <v>0</v>
      </c>
      <c r="X18" s="193">
        <f t="shared" si="5"/>
        <v>0</v>
      </c>
      <c r="Y18" s="193">
        <f t="shared" si="5"/>
        <v>0</v>
      </c>
      <c r="Z18" s="193">
        <f t="shared" si="5"/>
        <v>0</v>
      </c>
      <c r="AA18" s="193">
        <f t="shared" si="5"/>
        <v>0</v>
      </c>
      <c r="AB18" s="193">
        <f t="shared" si="5"/>
        <v>0</v>
      </c>
      <c r="AC18" s="193">
        <f t="shared" si="5"/>
        <v>0</v>
      </c>
      <c r="AD18" s="193">
        <f t="shared" si="5"/>
        <v>0</v>
      </c>
      <c r="AE18" s="193">
        <f t="shared" si="5"/>
        <v>0</v>
      </c>
      <c r="AF18" s="193">
        <f t="shared" si="5"/>
        <v>0</v>
      </c>
      <c r="AG18" s="193">
        <f t="shared" si="5"/>
        <v>0</v>
      </c>
      <c r="AH18" s="193">
        <f t="shared" si="5"/>
        <v>0</v>
      </c>
      <c r="AI18" s="193">
        <f t="shared" si="5"/>
        <v>0</v>
      </c>
      <c r="AJ18" s="193">
        <f t="shared" si="5"/>
        <v>0</v>
      </c>
      <c r="AK18" s="193">
        <f t="shared" si="5"/>
        <v>0</v>
      </c>
      <c r="AL18" s="193">
        <f t="shared" si="5"/>
        <v>0</v>
      </c>
      <c r="AM18" s="193">
        <f t="shared" ref="AM18:BR18" si="6">IF(AM11&lt;0,AM11*$F$4,0)</f>
        <v>0</v>
      </c>
      <c r="AN18" s="193">
        <f t="shared" si="6"/>
        <v>0</v>
      </c>
      <c r="AO18" s="193">
        <f t="shared" si="6"/>
        <v>0</v>
      </c>
      <c r="AP18" s="193">
        <f t="shared" si="6"/>
        <v>0</v>
      </c>
      <c r="AQ18" s="193">
        <f t="shared" si="6"/>
        <v>0</v>
      </c>
      <c r="AR18" s="193">
        <f t="shared" si="6"/>
        <v>0</v>
      </c>
      <c r="AS18" s="193">
        <f t="shared" si="6"/>
        <v>0</v>
      </c>
      <c r="AT18" s="193">
        <f t="shared" si="6"/>
        <v>0</v>
      </c>
      <c r="AU18" s="193">
        <f t="shared" si="6"/>
        <v>0</v>
      </c>
      <c r="AV18" s="193">
        <f t="shared" si="6"/>
        <v>0</v>
      </c>
      <c r="AW18" s="193">
        <f t="shared" si="6"/>
        <v>0</v>
      </c>
      <c r="AX18" s="193">
        <f t="shared" si="6"/>
        <v>0</v>
      </c>
      <c r="AY18" s="193">
        <f t="shared" si="6"/>
        <v>0</v>
      </c>
      <c r="AZ18" s="193">
        <f t="shared" si="6"/>
        <v>0</v>
      </c>
      <c r="BA18" s="193">
        <f t="shared" si="6"/>
        <v>0</v>
      </c>
      <c r="BB18" s="193">
        <f t="shared" si="6"/>
        <v>0</v>
      </c>
      <c r="BC18" s="193">
        <f t="shared" si="6"/>
        <v>0</v>
      </c>
      <c r="BD18" s="193">
        <f t="shared" si="6"/>
        <v>0</v>
      </c>
      <c r="BE18" s="193">
        <f t="shared" si="6"/>
        <v>0</v>
      </c>
      <c r="BF18" s="193">
        <f t="shared" si="6"/>
        <v>0</v>
      </c>
      <c r="BG18" s="193">
        <f t="shared" si="6"/>
        <v>0</v>
      </c>
      <c r="BH18" s="193">
        <f t="shared" si="6"/>
        <v>0</v>
      </c>
      <c r="BI18" s="193">
        <f t="shared" si="6"/>
        <v>0</v>
      </c>
      <c r="BJ18" s="193">
        <f t="shared" si="6"/>
        <v>0</v>
      </c>
      <c r="BK18" s="193">
        <f t="shared" si="6"/>
        <v>0</v>
      </c>
      <c r="BL18" s="193">
        <f t="shared" si="6"/>
        <v>0</v>
      </c>
      <c r="BM18" s="193">
        <f t="shared" si="6"/>
        <v>0</v>
      </c>
      <c r="BN18" s="193">
        <f t="shared" si="6"/>
        <v>0</v>
      </c>
      <c r="BO18" s="193">
        <f t="shared" si="6"/>
        <v>0</v>
      </c>
      <c r="BP18" s="193">
        <f t="shared" si="6"/>
        <v>0</v>
      </c>
      <c r="BQ18" s="193">
        <f t="shared" si="6"/>
        <v>0</v>
      </c>
      <c r="BR18" s="193">
        <f t="shared" si="6"/>
        <v>0</v>
      </c>
      <c r="BS18" s="193">
        <f t="shared" ref="BS18:CX18" si="7">IF(BS11&lt;0,BS11*$F$4,0)</f>
        <v>0</v>
      </c>
      <c r="BT18" s="193">
        <f t="shared" si="7"/>
        <v>0</v>
      </c>
      <c r="BU18" s="193">
        <f t="shared" si="7"/>
        <v>0</v>
      </c>
      <c r="BV18" s="193">
        <f t="shared" si="7"/>
        <v>0</v>
      </c>
      <c r="BW18" s="193">
        <f t="shared" si="7"/>
        <v>0</v>
      </c>
      <c r="BX18" s="193">
        <f t="shared" si="7"/>
        <v>0</v>
      </c>
      <c r="BY18" s="193">
        <f t="shared" si="7"/>
        <v>0</v>
      </c>
      <c r="BZ18" s="193">
        <f t="shared" si="7"/>
        <v>0</v>
      </c>
      <c r="CA18" s="193">
        <f t="shared" si="7"/>
        <v>0</v>
      </c>
      <c r="CB18" s="193">
        <f t="shared" si="7"/>
        <v>0</v>
      </c>
      <c r="CC18" s="193">
        <f t="shared" si="7"/>
        <v>0</v>
      </c>
      <c r="CD18" s="193">
        <f t="shared" si="7"/>
        <v>0</v>
      </c>
      <c r="CE18" s="193">
        <f t="shared" si="7"/>
        <v>0</v>
      </c>
      <c r="CF18" s="193">
        <f t="shared" si="7"/>
        <v>0</v>
      </c>
      <c r="CG18" s="193">
        <f t="shared" si="7"/>
        <v>0</v>
      </c>
      <c r="CH18" s="193">
        <f t="shared" si="7"/>
        <v>0</v>
      </c>
      <c r="CI18" s="193">
        <f t="shared" si="7"/>
        <v>0</v>
      </c>
      <c r="CJ18" s="193">
        <f t="shared" si="7"/>
        <v>0</v>
      </c>
      <c r="CK18" s="193">
        <f t="shared" si="7"/>
        <v>0</v>
      </c>
      <c r="CL18" s="193">
        <f t="shared" si="7"/>
        <v>0</v>
      </c>
      <c r="CM18" s="193">
        <f t="shared" si="7"/>
        <v>0</v>
      </c>
      <c r="CN18" s="193">
        <f t="shared" si="7"/>
        <v>0</v>
      </c>
      <c r="CO18" s="193">
        <f t="shared" si="7"/>
        <v>0</v>
      </c>
      <c r="CP18" s="193">
        <f t="shared" si="7"/>
        <v>0</v>
      </c>
      <c r="CQ18" s="193">
        <f t="shared" si="7"/>
        <v>0</v>
      </c>
      <c r="CR18" s="193">
        <f t="shared" si="7"/>
        <v>0</v>
      </c>
      <c r="CS18" s="193">
        <f t="shared" si="7"/>
        <v>0</v>
      </c>
      <c r="CT18" s="193">
        <f t="shared" si="7"/>
        <v>0</v>
      </c>
      <c r="CU18" s="193">
        <f t="shared" si="7"/>
        <v>0</v>
      </c>
      <c r="CV18" s="193">
        <f t="shared" si="7"/>
        <v>0</v>
      </c>
      <c r="CW18" s="193">
        <f t="shared" si="7"/>
        <v>0</v>
      </c>
      <c r="CX18" s="193">
        <f t="shared" si="7"/>
        <v>0</v>
      </c>
      <c r="CY18" s="193">
        <f t="shared" ref="CY18:ED18" si="8">IF(CY11&lt;0,CY11*$F$4,0)</f>
        <v>0</v>
      </c>
      <c r="CZ18" s="193">
        <f t="shared" si="8"/>
        <v>0</v>
      </c>
      <c r="DA18" s="193">
        <f t="shared" si="8"/>
        <v>0</v>
      </c>
      <c r="DB18" s="193">
        <f t="shared" si="8"/>
        <v>0</v>
      </c>
      <c r="DC18" s="193">
        <f t="shared" si="8"/>
        <v>0</v>
      </c>
      <c r="DD18" s="193">
        <f t="shared" si="8"/>
        <v>0</v>
      </c>
      <c r="DE18" s="193">
        <f t="shared" si="8"/>
        <v>0</v>
      </c>
      <c r="DF18" s="193">
        <f t="shared" si="8"/>
        <v>0</v>
      </c>
      <c r="DG18" s="193">
        <f t="shared" si="8"/>
        <v>0</v>
      </c>
      <c r="DH18" s="193">
        <f t="shared" si="8"/>
        <v>0</v>
      </c>
      <c r="DI18" s="193">
        <f t="shared" si="8"/>
        <v>0</v>
      </c>
      <c r="DJ18" s="193">
        <f t="shared" si="8"/>
        <v>0</v>
      </c>
      <c r="DK18" s="193">
        <f t="shared" si="8"/>
        <v>0</v>
      </c>
      <c r="DL18" s="193">
        <f t="shared" si="8"/>
        <v>0</v>
      </c>
      <c r="DM18" s="193">
        <f t="shared" si="8"/>
        <v>0</v>
      </c>
      <c r="DN18" s="193">
        <f t="shared" si="8"/>
        <v>0</v>
      </c>
      <c r="DO18" s="193">
        <f t="shared" si="8"/>
        <v>0</v>
      </c>
      <c r="DP18" s="193">
        <f t="shared" si="8"/>
        <v>0</v>
      </c>
      <c r="DQ18" s="193">
        <f t="shared" si="8"/>
        <v>0</v>
      </c>
      <c r="DR18" s="193">
        <f t="shared" si="8"/>
        <v>0</v>
      </c>
      <c r="DS18" s="193">
        <f t="shared" si="8"/>
        <v>0</v>
      </c>
      <c r="DT18" s="193">
        <f t="shared" si="8"/>
        <v>0</v>
      </c>
      <c r="DU18" s="193">
        <f t="shared" si="8"/>
        <v>0</v>
      </c>
      <c r="DV18" s="193">
        <f t="shared" si="8"/>
        <v>0</v>
      </c>
      <c r="DW18" s="193">
        <f t="shared" si="8"/>
        <v>0</v>
      </c>
      <c r="DX18" s="193">
        <f t="shared" si="8"/>
        <v>0</v>
      </c>
      <c r="DY18" s="193">
        <f t="shared" si="8"/>
        <v>0</v>
      </c>
      <c r="DZ18" s="193">
        <f t="shared" si="8"/>
        <v>0</v>
      </c>
      <c r="EA18" s="193">
        <f t="shared" si="8"/>
        <v>0</v>
      </c>
      <c r="EB18" s="193">
        <f t="shared" si="8"/>
        <v>0</v>
      </c>
      <c r="EC18" s="193">
        <f t="shared" si="8"/>
        <v>0</v>
      </c>
      <c r="ED18" s="193">
        <f t="shared" si="8"/>
        <v>0</v>
      </c>
      <c r="EE18" s="193">
        <f t="shared" ref="EE18:ET18" si="9">IF(EE11&lt;0,EE11*$F$4,0)</f>
        <v>0</v>
      </c>
      <c r="EF18" s="193">
        <f t="shared" si="9"/>
        <v>0</v>
      </c>
      <c r="EG18" s="193">
        <f t="shared" si="9"/>
        <v>0</v>
      </c>
      <c r="EH18" s="193">
        <f t="shared" si="9"/>
        <v>0</v>
      </c>
      <c r="EI18" s="193">
        <f t="shared" si="9"/>
        <v>0</v>
      </c>
      <c r="EJ18" s="193">
        <f t="shared" si="9"/>
        <v>0</v>
      </c>
      <c r="EK18" s="193">
        <f t="shared" si="9"/>
        <v>0</v>
      </c>
      <c r="EL18" s="193">
        <f t="shared" si="9"/>
        <v>0</v>
      </c>
      <c r="EM18" s="193">
        <f t="shared" si="9"/>
        <v>0</v>
      </c>
      <c r="EN18" s="193">
        <f t="shared" si="9"/>
        <v>0</v>
      </c>
      <c r="EO18" s="193">
        <f t="shared" si="9"/>
        <v>0</v>
      </c>
      <c r="EP18" s="193">
        <f t="shared" si="9"/>
        <v>0</v>
      </c>
      <c r="EQ18" s="193">
        <f t="shared" si="9"/>
        <v>0</v>
      </c>
      <c r="ER18" s="193">
        <f t="shared" si="9"/>
        <v>0</v>
      </c>
      <c r="ES18" s="193">
        <f t="shared" si="9"/>
        <v>0</v>
      </c>
      <c r="ET18" s="193">
        <f t="shared" si="9"/>
        <v>0</v>
      </c>
      <c r="EV18" s="190" t="s">
        <v>82</v>
      </c>
    </row>
    <row r="19" spans="5:152" x14ac:dyDescent="0.3">
      <c r="E19" t="s">
        <v>85</v>
      </c>
      <c r="G19" s="193">
        <f>SUM(G17:G18)</f>
        <v>-1069604922.0076392</v>
      </c>
      <c r="H19" s="193">
        <f t="shared" ref="H19:BS19" si="10">SUM(H17:H18)</f>
        <v>0</v>
      </c>
      <c r="I19" s="193">
        <f t="shared" si="10"/>
        <v>0</v>
      </c>
      <c r="J19" s="193">
        <f t="shared" si="10"/>
        <v>0</v>
      </c>
      <c r="K19" s="193">
        <f t="shared" si="10"/>
        <v>0</v>
      </c>
      <c r="L19" s="193">
        <f t="shared" si="10"/>
        <v>0</v>
      </c>
      <c r="M19" s="193">
        <f t="shared" si="10"/>
        <v>0</v>
      </c>
      <c r="N19" s="193">
        <f t="shared" si="10"/>
        <v>0</v>
      </c>
      <c r="O19" s="193">
        <f t="shared" si="10"/>
        <v>0</v>
      </c>
      <c r="P19" s="193">
        <f t="shared" si="10"/>
        <v>0</v>
      </c>
      <c r="Q19" s="193">
        <f t="shared" si="10"/>
        <v>0</v>
      </c>
      <c r="R19" s="193">
        <f t="shared" si="10"/>
        <v>0</v>
      </c>
      <c r="S19" s="193">
        <f t="shared" si="10"/>
        <v>0</v>
      </c>
      <c r="T19" s="193">
        <f t="shared" si="10"/>
        <v>0</v>
      </c>
      <c r="U19" s="193">
        <f t="shared" si="10"/>
        <v>0</v>
      </c>
      <c r="V19" s="193">
        <f t="shared" si="10"/>
        <v>0</v>
      </c>
      <c r="W19" s="193">
        <f t="shared" si="10"/>
        <v>0</v>
      </c>
      <c r="X19" s="193">
        <f t="shared" si="10"/>
        <v>0</v>
      </c>
      <c r="Y19" s="193">
        <f t="shared" si="10"/>
        <v>0</v>
      </c>
      <c r="Z19" s="193">
        <f t="shared" si="10"/>
        <v>0</v>
      </c>
      <c r="AA19" s="193">
        <f t="shared" si="10"/>
        <v>0</v>
      </c>
      <c r="AB19" s="193">
        <f t="shared" si="10"/>
        <v>0</v>
      </c>
      <c r="AC19" s="193">
        <f t="shared" si="10"/>
        <v>0</v>
      </c>
      <c r="AD19" s="193">
        <f t="shared" si="10"/>
        <v>0</v>
      </c>
      <c r="AE19" s="193">
        <f t="shared" si="10"/>
        <v>0</v>
      </c>
      <c r="AF19" s="193">
        <f t="shared" si="10"/>
        <v>0</v>
      </c>
      <c r="AG19" s="193">
        <f t="shared" si="10"/>
        <v>0</v>
      </c>
      <c r="AH19" s="193">
        <f t="shared" si="10"/>
        <v>0</v>
      </c>
      <c r="AI19" s="193">
        <f t="shared" si="10"/>
        <v>0</v>
      </c>
      <c r="AJ19" s="193">
        <f t="shared" si="10"/>
        <v>0</v>
      </c>
      <c r="AK19" s="193">
        <f t="shared" si="10"/>
        <v>0</v>
      </c>
      <c r="AL19" s="193">
        <f t="shared" si="10"/>
        <v>0</v>
      </c>
      <c r="AM19" s="193">
        <f t="shared" si="10"/>
        <v>0</v>
      </c>
      <c r="AN19" s="193">
        <f t="shared" si="10"/>
        <v>0</v>
      </c>
      <c r="AO19" s="193">
        <f t="shared" si="10"/>
        <v>0</v>
      </c>
      <c r="AP19" s="193">
        <f t="shared" si="10"/>
        <v>0</v>
      </c>
      <c r="AQ19" s="193">
        <f t="shared" si="10"/>
        <v>0</v>
      </c>
      <c r="AR19" s="193">
        <f t="shared" si="10"/>
        <v>0</v>
      </c>
      <c r="AS19" s="193">
        <f t="shared" si="10"/>
        <v>0</v>
      </c>
      <c r="AT19" s="193">
        <f t="shared" si="10"/>
        <v>0</v>
      </c>
      <c r="AU19" s="193">
        <f t="shared" si="10"/>
        <v>0</v>
      </c>
      <c r="AV19" s="193">
        <f t="shared" si="10"/>
        <v>0</v>
      </c>
      <c r="AW19" s="193">
        <f t="shared" si="10"/>
        <v>0</v>
      </c>
      <c r="AX19" s="193">
        <f t="shared" si="10"/>
        <v>0</v>
      </c>
      <c r="AY19" s="193">
        <f t="shared" si="10"/>
        <v>0</v>
      </c>
      <c r="AZ19" s="193">
        <f t="shared" si="10"/>
        <v>0</v>
      </c>
      <c r="BA19" s="193">
        <f t="shared" si="10"/>
        <v>0</v>
      </c>
      <c r="BB19" s="193">
        <f t="shared" si="10"/>
        <v>0</v>
      </c>
      <c r="BC19" s="193">
        <f t="shared" si="10"/>
        <v>0</v>
      </c>
      <c r="BD19" s="193">
        <f t="shared" si="10"/>
        <v>0</v>
      </c>
      <c r="BE19" s="193">
        <f t="shared" si="10"/>
        <v>0</v>
      </c>
      <c r="BF19" s="193">
        <f t="shared" si="10"/>
        <v>0</v>
      </c>
      <c r="BG19" s="193">
        <f t="shared" si="10"/>
        <v>0</v>
      </c>
      <c r="BH19" s="193">
        <f t="shared" si="10"/>
        <v>0</v>
      </c>
      <c r="BI19" s="193">
        <f t="shared" si="10"/>
        <v>0</v>
      </c>
      <c r="BJ19" s="193">
        <f t="shared" si="10"/>
        <v>0</v>
      </c>
      <c r="BK19" s="193">
        <f t="shared" si="10"/>
        <v>0</v>
      </c>
      <c r="BL19" s="193">
        <f t="shared" si="10"/>
        <v>0</v>
      </c>
      <c r="BM19" s="193">
        <f t="shared" si="10"/>
        <v>0</v>
      </c>
      <c r="BN19" s="193">
        <f t="shared" si="10"/>
        <v>0</v>
      </c>
      <c r="BO19" s="193">
        <f t="shared" si="10"/>
        <v>0</v>
      </c>
      <c r="BP19" s="193">
        <f t="shared" si="10"/>
        <v>0</v>
      </c>
      <c r="BQ19" s="193">
        <f t="shared" si="10"/>
        <v>0</v>
      </c>
      <c r="BR19" s="193">
        <f t="shared" si="10"/>
        <v>0</v>
      </c>
      <c r="BS19" s="193">
        <f t="shared" si="10"/>
        <v>0</v>
      </c>
      <c r="BT19" s="193">
        <f t="shared" ref="BT19:EE19" si="11">SUM(BT17:BT18)</f>
        <v>0</v>
      </c>
      <c r="BU19" s="193">
        <f t="shared" si="11"/>
        <v>0</v>
      </c>
      <c r="BV19" s="193">
        <f t="shared" si="11"/>
        <v>0</v>
      </c>
      <c r="BW19" s="193">
        <f t="shared" si="11"/>
        <v>0</v>
      </c>
      <c r="BX19" s="193">
        <f t="shared" si="11"/>
        <v>0</v>
      </c>
      <c r="BY19" s="193">
        <f t="shared" si="11"/>
        <v>0</v>
      </c>
      <c r="BZ19" s="193">
        <f t="shared" si="11"/>
        <v>0</v>
      </c>
      <c r="CA19" s="193">
        <f t="shared" si="11"/>
        <v>0</v>
      </c>
      <c r="CB19" s="193">
        <f t="shared" si="11"/>
        <v>0</v>
      </c>
      <c r="CC19" s="193">
        <f t="shared" si="11"/>
        <v>0</v>
      </c>
      <c r="CD19" s="193">
        <f t="shared" si="11"/>
        <v>0</v>
      </c>
      <c r="CE19" s="193">
        <f t="shared" si="11"/>
        <v>0</v>
      </c>
      <c r="CF19" s="193">
        <f t="shared" si="11"/>
        <v>0</v>
      </c>
      <c r="CG19" s="193">
        <f t="shared" si="11"/>
        <v>0</v>
      </c>
      <c r="CH19" s="193">
        <f t="shared" si="11"/>
        <v>0</v>
      </c>
      <c r="CI19" s="193">
        <f t="shared" si="11"/>
        <v>0</v>
      </c>
      <c r="CJ19" s="193">
        <f t="shared" si="11"/>
        <v>0</v>
      </c>
      <c r="CK19" s="193">
        <f t="shared" si="11"/>
        <v>0</v>
      </c>
      <c r="CL19" s="193">
        <f t="shared" si="11"/>
        <v>0</v>
      </c>
      <c r="CM19" s="193">
        <f t="shared" si="11"/>
        <v>0</v>
      </c>
      <c r="CN19" s="193">
        <f t="shared" si="11"/>
        <v>0</v>
      </c>
      <c r="CO19" s="193">
        <f t="shared" si="11"/>
        <v>0</v>
      </c>
      <c r="CP19" s="193">
        <f t="shared" si="11"/>
        <v>0</v>
      </c>
      <c r="CQ19" s="193">
        <f t="shared" si="11"/>
        <v>0</v>
      </c>
      <c r="CR19" s="193">
        <f t="shared" si="11"/>
        <v>0</v>
      </c>
      <c r="CS19" s="193">
        <f t="shared" si="11"/>
        <v>0</v>
      </c>
      <c r="CT19" s="193">
        <f t="shared" si="11"/>
        <v>0</v>
      </c>
      <c r="CU19" s="193">
        <f t="shared" si="11"/>
        <v>0</v>
      </c>
      <c r="CV19" s="193">
        <f t="shared" si="11"/>
        <v>0</v>
      </c>
      <c r="CW19" s="193">
        <f t="shared" si="11"/>
        <v>0</v>
      </c>
      <c r="CX19" s="193">
        <f t="shared" si="11"/>
        <v>0</v>
      </c>
      <c r="CY19" s="193">
        <f t="shared" si="11"/>
        <v>0</v>
      </c>
      <c r="CZ19" s="193">
        <f t="shared" si="11"/>
        <v>0</v>
      </c>
      <c r="DA19" s="193">
        <f t="shared" si="11"/>
        <v>0</v>
      </c>
      <c r="DB19" s="193">
        <f t="shared" si="11"/>
        <v>0</v>
      </c>
      <c r="DC19" s="193">
        <f t="shared" si="11"/>
        <v>0</v>
      </c>
      <c r="DD19" s="193">
        <f t="shared" si="11"/>
        <v>0</v>
      </c>
      <c r="DE19" s="193">
        <f t="shared" si="11"/>
        <v>0</v>
      </c>
      <c r="DF19" s="193">
        <f t="shared" si="11"/>
        <v>0</v>
      </c>
      <c r="DG19" s="193">
        <f t="shared" si="11"/>
        <v>0</v>
      </c>
      <c r="DH19" s="193">
        <f t="shared" si="11"/>
        <v>0</v>
      </c>
      <c r="DI19" s="193">
        <f t="shared" si="11"/>
        <v>0</v>
      </c>
      <c r="DJ19" s="193">
        <f t="shared" si="11"/>
        <v>0</v>
      </c>
      <c r="DK19" s="193">
        <f t="shared" si="11"/>
        <v>0</v>
      </c>
      <c r="DL19" s="193">
        <f t="shared" si="11"/>
        <v>0</v>
      </c>
      <c r="DM19" s="193">
        <f t="shared" si="11"/>
        <v>0</v>
      </c>
      <c r="DN19" s="193">
        <f t="shared" si="11"/>
        <v>0</v>
      </c>
      <c r="DO19" s="193">
        <f t="shared" si="11"/>
        <v>0</v>
      </c>
      <c r="DP19" s="193">
        <f t="shared" si="11"/>
        <v>0</v>
      </c>
      <c r="DQ19" s="193">
        <f t="shared" si="11"/>
        <v>0</v>
      </c>
      <c r="DR19" s="193">
        <f t="shared" si="11"/>
        <v>0</v>
      </c>
      <c r="DS19" s="193">
        <f t="shared" si="11"/>
        <v>0</v>
      </c>
      <c r="DT19" s="193">
        <f t="shared" si="11"/>
        <v>0</v>
      </c>
      <c r="DU19" s="193">
        <f t="shared" si="11"/>
        <v>0</v>
      </c>
      <c r="DV19" s="193">
        <f t="shared" si="11"/>
        <v>0</v>
      </c>
      <c r="DW19" s="193">
        <f t="shared" si="11"/>
        <v>0</v>
      </c>
      <c r="DX19" s="193">
        <f t="shared" si="11"/>
        <v>0</v>
      </c>
      <c r="DY19" s="193">
        <f t="shared" si="11"/>
        <v>0</v>
      </c>
      <c r="DZ19" s="193">
        <f t="shared" si="11"/>
        <v>0</v>
      </c>
      <c r="EA19" s="193">
        <f t="shared" si="11"/>
        <v>0</v>
      </c>
      <c r="EB19" s="193">
        <f t="shared" si="11"/>
        <v>0</v>
      </c>
      <c r="EC19" s="193">
        <f t="shared" si="11"/>
        <v>0</v>
      </c>
      <c r="ED19" s="193">
        <f t="shared" si="11"/>
        <v>0</v>
      </c>
      <c r="EE19" s="193">
        <f t="shared" si="11"/>
        <v>0</v>
      </c>
      <c r="EF19" s="193">
        <f t="shared" ref="EF19:ET19" si="12">SUM(EF17:EF18)</f>
        <v>0</v>
      </c>
      <c r="EG19" s="193">
        <f t="shared" si="12"/>
        <v>0</v>
      </c>
      <c r="EH19" s="193">
        <f t="shared" si="12"/>
        <v>0</v>
      </c>
      <c r="EI19" s="193">
        <f t="shared" si="12"/>
        <v>0</v>
      </c>
      <c r="EJ19" s="193">
        <f t="shared" si="12"/>
        <v>0</v>
      </c>
      <c r="EK19" s="193">
        <f t="shared" si="12"/>
        <v>0</v>
      </c>
      <c r="EL19" s="193">
        <f t="shared" si="12"/>
        <v>0</v>
      </c>
      <c r="EM19" s="193">
        <f t="shared" si="12"/>
        <v>0</v>
      </c>
      <c r="EN19" s="193">
        <f t="shared" si="12"/>
        <v>0</v>
      </c>
      <c r="EO19" s="193">
        <f t="shared" si="12"/>
        <v>0</v>
      </c>
      <c r="EP19" s="193">
        <f t="shared" si="12"/>
        <v>0</v>
      </c>
      <c r="EQ19" s="193">
        <f t="shared" si="12"/>
        <v>0</v>
      </c>
      <c r="ER19" s="193">
        <f t="shared" si="12"/>
        <v>0</v>
      </c>
      <c r="ES19" s="193">
        <f t="shared" si="12"/>
        <v>0</v>
      </c>
      <c r="ET19" s="193">
        <f t="shared" si="12"/>
        <v>0</v>
      </c>
      <c r="EV19" s="190" t="s">
        <v>82</v>
      </c>
    </row>
    <row r="20" spans="5:152" ht="6" customHeight="1" x14ac:dyDescent="0.3">
      <c r="E20" s="197"/>
      <c r="G20" s="197"/>
      <c r="H20" s="193"/>
      <c r="I20" s="193"/>
      <c r="J20" s="193"/>
      <c r="K20" s="193"/>
      <c r="L20" s="193"/>
      <c r="M20" s="48"/>
      <c r="N20" s="193"/>
      <c r="O20" s="193"/>
      <c r="P20" s="193"/>
      <c r="Q20" s="193"/>
      <c r="R20" s="193"/>
      <c r="S20" s="193"/>
      <c r="T20" s="193"/>
      <c r="U20" s="193"/>
      <c r="V20" s="193"/>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T20" s="193"/>
      <c r="AU20" s="193"/>
      <c r="AV20" s="193"/>
      <c r="AW20" s="193"/>
      <c r="AX20" s="193"/>
      <c r="AY20" s="193"/>
      <c r="AZ20" s="193"/>
      <c r="BA20" s="193"/>
      <c r="BB20" s="193"/>
      <c r="BC20" s="193"/>
      <c r="BD20" s="193"/>
      <c r="BE20" s="193"/>
      <c r="BF20" s="193"/>
      <c r="BG20" s="193"/>
      <c r="BH20" s="193"/>
      <c r="BI20" s="193"/>
      <c r="BJ20" s="193"/>
      <c r="BK20" s="193"/>
      <c r="BL20" s="193"/>
      <c r="BM20" s="193"/>
      <c r="BN20" s="193"/>
      <c r="BO20" s="193"/>
      <c r="BP20" s="193"/>
      <c r="BQ20" s="193"/>
      <c r="BR20" s="193"/>
      <c r="BS20" s="193"/>
      <c r="BT20" s="193"/>
      <c r="BU20" s="193"/>
      <c r="BV20" s="193"/>
      <c r="BW20" s="193"/>
      <c r="BX20" s="193"/>
      <c r="BY20" s="193"/>
      <c r="BZ20" s="193"/>
      <c r="CA20" s="193"/>
      <c r="CB20" s="193"/>
      <c r="CC20" s="193"/>
      <c r="CD20" s="193"/>
      <c r="CE20" s="193"/>
      <c r="CF20" s="193"/>
      <c r="CG20" s="193"/>
      <c r="CH20" s="193"/>
      <c r="CI20" s="193"/>
      <c r="CJ20" s="193"/>
      <c r="CK20" s="193"/>
      <c r="CL20" s="193"/>
      <c r="CM20" s="193"/>
      <c r="CN20" s="193"/>
      <c r="CO20" s="193"/>
      <c r="CP20" s="193"/>
      <c r="CQ20" s="193"/>
      <c r="CR20" s="193"/>
      <c r="CS20" s="193"/>
      <c r="CT20" s="193"/>
      <c r="CU20" s="193"/>
      <c r="CV20" s="193"/>
      <c r="CW20" s="193"/>
      <c r="CX20" s="193"/>
      <c r="CY20" s="193"/>
      <c r="CZ20" s="193"/>
      <c r="DA20" s="193"/>
      <c r="DB20" s="193"/>
      <c r="DC20" s="193"/>
      <c r="DD20" s="193"/>
      <c r="DE20" s="193"/>
      <c r="DF20" s="193"/>
      <c r="DG20" s="193"/>
      <c r="DH20" s="193"/>
      <c r="DI20" s="193"/>
      <c r="DJ20" s="193"/>
      <c r="DK20" s="193"/>
      <c r="DL20" s="193"/>
      <c r="DM20" s="193"/>
      <c r="DN20" s="193"/>
      <c r="DO20" s="193"/>
      <c r="DP20" s="193"/>
      <c r="DQ20" s="193"/>
      <c r="DR20" s="193"/>
      <c r="DS20" s="193"/>
      <c r="DT20" s="193"/>
      <c r="DU20" s="193"/>
      <c r="DV20" s="193"/>
      <c r="DW20" s="193"/>
      <c r="DX20" s="193"/>
      <c r="DY20" s="193"/>
      <c r="DZ20" s="193"/>
      <c r="EA20" s="193"/>
      <c r="EB20" s="193"/>
      <c r="EC20" s="193"/>
      <c r="ED20" s="193"/>
      <c r="EE20" s="193"/>
      <c r="EF20" s="193"/>
      <c r="EG20" s="193"/>
      <c r="EH20" s="193"/>
      <c r="EI20" s="193"/>
      <c r="EJ20" s="193"/>
      <c r="EK20" s="193"/>
      <c r="EL20" s="193"/>
      <c r="EM20" s="193"/>
      <c r="EN20" s="193"/>
      <c r="EO20" s="193"/>
      <c r="EP20" s="193"/>
      <c r="EQ20" s="193"/>
      <c r="ER20" s="193"/>
      <c r="ES20" s="193"/>
      <c r="ET20" s="193"/>
      <c r="EV20" s="190" t="s">
        <v>82</v>
      </c>
    </row>
    <row r="21" spans="5:152" x14ac:dyDescent="0.3">
      <c r="G21" s="193"/>
      <c r="H21" s="193"/>
      <c r="I21" s="193"/>
      <c r="J21" s="193"/>
      <c r="K21" s="193"/>
      <c r="L21" s="193"/>
      <c r="M21" s="193"/>
      <c r="N21" s="193"/>
      <c r="O21" s="193"/>
      <c r="P21" s="193"/>
      <c r="Q21" s="193"/>
      <c r="R21" s="193"/>
      <c r="S21" s="193"/>
      <c r="T21" s="193"/>
      <c r="U21" s="193"/>
      <c r="V21" s="193"/>
      <c r="W21" s="193"/>
      <c r="X21" s="193"/>
      <c r="Y21" s="193"/>
      <c r="Z21" s="193"/>
      <c r="AA21" s="193"/>
      <c r="AB21" s="193"/>
      <c r="AC21" s="193"/>
      <c r="AD21" s="193"/>
      <c r="AE21" s="193"/>
      <c r="AF21" s="193"/>
      <c r="AG21" s="193"/>
      <c r="AH21" s="193"/>
      <c r="AI21" s="193"/>
      <c r="AJ21" s="193"/>
      <c r="AK21" s="193"/>
      <c r="AL21" s="193"/>
      <c r="AM21" s="193"/>
      <c r="AN21" s="193"/>
      <c r="AO21" s="193"/>
      <c r="AP21" s="193"/>
      <c r="AQ21" s="193"/>
      <c r="AR21" s="193"/>
      <c r="AS21" s="193"/>
      <c r="AT21" s="193"/>
      <c r="AU21" s="193"/>
      <c r="AV21" s="193"/>
      <c r="AW21" s="193"/>
      <c r="AX21" s="193"/>
      <c r="AY21" s="193"/>
      <c r="AZ21" s="193"/>
      <c r="BA21" s="193"/>
      <c r="BB21" s="193"/>
      <c r="BC21" s="193"/>
      <c r="BD21" s="193"/>
      <c r="BE21" s="193"/>
      <c r="BF21" s="193"/>
      <c r="BG21" s="193"/>
      <c r="BH21" s="193"/>
      <c r="BI21" s="193"/>
      <c r="BJ21" s="193"/>
      <c r="BK21" s="193"/>
      <c r="BL21" s="193"/>
      <c r="BM21" s="193"/>
      <c r="BN21" s="193"/>
      <c r="BO21" s="193"/>
      <c r="BP21" s="193"/>
      <c r="BQ21" s="193"/>
      <c r="BR21" s="193"/>
      <c r="BS21" s="193"/>
      <c r="BT21" s="193"/>
      <c r="BU21" s="193"/>
      <c r="BV21" s="193"/>
      <c r="BW21" s="193"/>
      <c r="BX21" s="193"/>
      <c r="BY21" s="193"/>
      <c r="BZ21" s="193"/>
      <c r="CA21" s="193"/>
      <c r="CB21" s="193"/>
      <c r="CC21" s="193"/>
      <c r="CD21" s="193"/>
      <c r="CE21" s="193"/>
      <c r="CF21" s="193"/>
      <c r="CG21" s="193"/>
      <c r="CH21" s="193"/>
      <c r="CI21" s="193"/>
      <c r="CJ21" s="193"/>
      <c r="CK21" s="193"/>
      <c r="CL21" s="193"/>
      <c r="CM21" s="193"/>
      <c r="CN21" s="193"/>
      <c r="CO21" s="193"/>
      <c r="CP21" s="193"/>
      <c r="CQ21" s="193"/>
      <c r="CR21" s="193"/>
      <c r="CS21" s="193"/>
      <c r="CT21" s="193"/>
      <c r="CU21" s="193"/>
      <c r="CV21" s="193"/>
      <c r="CW21" s="193"/>
      <c r="CX21" s="193"/>
      <c r="CY21" s="193"/>
      <c r="CZ21" s="193"/>
      <c r="DA21" s="193"/>
      <c r="DB21" s="193"/>
      <c r="DC21" s="193"/>
      <c r="DD21" s="193"/>
      <c r="DE21" s="193"/>
      <c r="DF21" s="193"/>
      <c r="DG21" s="193"/>
      <c r="DH21" s="193"/>
      <c r="DI21" s="193"/>
      <c r="DJ21" s="193"/>
      <c r="DK21" s="193"/>
      <c r="DL21" s="193"/>
      <c r="DM21" s="193"/>
      <c r="DN21" s="193"/>
      <c r="DO21" s="193"/>
      <c r="DP21" s="193"/>
      <c r="DQ21" s="193"/>
      <c r="DR21" s="193"/>
      <c r="DS21" s="193"/>
      <c r="DT21" s="193"/>
      <c r="DU21" s="193"/>
      <c r="DV21" s="193"/>
      <c r="DW21" s="193"/>
      <c r="DX21" s="193"/>
      <c r="DY21" s="193"/>
      <c r="DZ21" s="193"/>
      <c r="EA21" s="193"/>
      <c r="EB21" s="193"/>
      <c r="EC21" s="193"/>
      <c r="ED21" s="193"/>
      <c r="EE21" s="193"/>
      <c r="EF21" s="193"/>
      <c r="EG21" s="193"/>
      <c r="EH21" s="193"/>
      <c r="EI21" s="193"/>
      <c r="EJ21" s="193"/>
      <c r="EK21" s="193"/>
      <c r="EL21" s="193"/>
      <c r="EM21" s="193"/>
      <c r="EN21" s="193"/>
      <c r="EO21" s="193"/>
      <c r="EP21" s="193"/>
      <c r="EQ21" s="193"/>
      <c r="ER21" s="193"/>
      <c r="ES21" s="193"/>
      <c r="ET21" s="193"/>
      <c r="EV21" s="190" t="s">
        <v>82</v>
      </c>
    </row>
    <row r="22" spans="5:152" outlineLevel="1" x14ac:dyDescent="0.3">
      <c r="E22" s="37" t="s">
        <v>86</v>
      </c>
      <c r="G22" s="193"/>
      <c r="H22" s="193"/>
      <c r="I22" s="193"/>
      <c r="J22" s="193"/>
      <c r="K22" s="193"/>
      <c r="L22" s="193"/>
      <c r="M22" s="193"/>
      <c r="N22" s="193"/>
      <c r="O22" s="193"/>
      <c r="P22" s="193"/>
      <c r="Q22" s="193"/>
      <c r="R22" s="193"/>
      <c r="S22" s="193"/>
      <c r="T22" s="193"/>
      <c r="U22" s="193"/>
      <c r="V22" s="193"/>
      <c r="W22" s="193"/>
      <c r="X22" s="193"/>
      <c r="Y22" s="193"/>
      <c r="Z22" s="193"/>
      <c r="AA22" s="193"/>
      <c r="AB22" s="193"/>
      <c r="AC22" s="193"/>
      <c r="AD22" s="193"/>
      <c r="AE22" s="193"/>
      <c r="AF22" s="193"/>
      <c r="AG22" s="193"/>
      <c r="AH22" s="193"/>
      <c r="AI22" s="193"/>
      <c r="AJ22" s="193"/>
      <c r="AK22" s="193"/>
      <c r="AL22" s="193"/>
      <c r="AM22" s="193"/>
      <c r="AN22" s="193"/>
      <c r="AO22" s="193"/>
      <c r="AP22" s="193"/>
      <c r="AQ22" s="193"/>
      <c r="AR22" s="193"/>
      <c r="AS22" s="193"/>
      <c r="AT22" s="193"/>
      <c r="AU22" s="193"/>
      <c r="AV22" s="193"/>
      <c r="AW22" s="193"/>
      <c r="AX22" s="193"/>
      <c r="AY22" s="193"/>
      <c r="AZ22" s="193"/>
      <c r="BA22" s="193"/>
      <c r="BB22" s="193"/>
      <c r="BC22" s="193"/>
      <c r="BD22" s="193"/>
      <c r="BE22" s="193"/>
      <c r="BF22" s="193"/>
      <c r="BG22" s="193"/>
      <c r="BH22" s="193"/>
      <c r="BI22" s="193"/>
      <c r="BJ22" s="193"/>
      <c r="BK22" s="193"/>
      <c r="BL22" s="193"/>
      <c r="BM22" s="193"/>
      <c r="BN22" s="193"/>
      <c r="BO22" s="193"/>
      <c r="BP22" s="193"/>
      <c r="BQ22" s="193"/>
      <c r="BR22" s="193"/>
      <c r="BS22" s="193"/>
      <c r="BT22" s="193"/>
      <c r="BU22" s="193"/>
      <c r="BV22" s="193"/>
      <c r="BW22" s="193"/>
      <c r="BX22" s="193"/>
      <c r="BY22" s="193"/>
      <c r="BZ22" s="193"/>
      <c r="CA22" s="193"/>
      <c r="CB22" s="193"/>
      <c r="CC22" s="193"/>
      <c r="CD22" s="193"/>
      <c r="CE22" s="193"/>
      <c r="CF22" s="193"/>
      <c r="CG22" s="193"/>
      <c r="CH22" s="193"/>
      <c r="CI22" s="193"/>
      <c r="CJ22" s="193"/>
      <c r="CK22" s="193"/>
      <c r="CL22" s="193"/>
      <c r="CM22" s="193"/>
      <c r="CN22" s="193"/>
      <c r="CO22" s="193"/>
      <c r="CP22" s="193"/>
      <c r="CQ22" s="193"/>
      <c r="CR22" s="193"/>
      <c r="CS22" s="193"/>
      <c r="CT22" s="193"/>
      <c r="CU22" s="193"/>
      <c r="CV22" s="193"/>
      <c r="CW22" s="193"/>
      <c r="CX22" s="193"/>
      <c r="CY22" s="193"/>
      <c r="CZ22" s="193"/>
      <c r="DA22" s="193"/>
      <c r="DB22" s="193"/>
      <c r="DC22" s="193"/>
      <c r="DD22" s="193"/>
      <c r="DE22" s="193"/>
      <c r="DF22" s="193"/>
      <c r="DG22" s="193"/>
      <c r="DH22" s="193"/>
      <c r="DI22" s="193"/>
      <c r="DJ22" s="193"/>
      <c r="DK22" s="193"/>
      <c r="DL22" s="193"/>
      <c r="DM22" s="193"/>
      <c r="DN22" s="193"/>
      <c r="DO22" s="193"/>
      <c r="DP22" s="193"/>
      <c r="DQ22" s="193"/>
      <c r="DR22" s="193"/>
      <c r="DS22" s="193"/>
      <c r="DT22" s="193"/>
      <c r="DU22" s="193"/>
      <c r="DV22" s="193"/>
      <c r="DW22" s="193"/>
      <c r="DX22" s="193"/>
      <c r="DY22" s="193"/>
      <c r="DZ22" s="193"/>
      <c r="EA22" s="193"/>
      <c r="EB22" s="193"/>
      <c r="EC22" s="193"/>
      <c r="ED22" s="193"/>
      <c r="EE22" s="193"/>
      <c r="EF22" s="193"/>
      <c r="EG22" s="193"/>
      <c r="EH22" s="193"/>
      <c r="EI22" s="193"/>
      <c r="EJ22" s="193"/>
      <c r="EK22" s="193"/>
      <c r="EL22" s="193"/>
      <c r="EM22" s="193"/>
      <c r="EN22" s="193"/>
      <c r="EO22" s="193"/>
      <c r="EP22" s="193"/>
      <c r="EQ22" s="193"/>
      <c r="ER22" s="193"/>
      <c r="ES22" s="193"/>
      <c r="ET22" s="193"/>
      <c r="EV22" s="190" t="s">
        <v>82</v>
      </c>
    </row>
    <row r="23" spans="5:152" outlineLevel="1" x14ac:dyDescent="0.3">
      <c r="E23" t="str">
        <f>$E$5</f>
        <v>Capital Partner</v>
      </c>
      <c r="G23" s="193">
        <f>+G61</f>
        <v>0</v>
      </c>
      <c r="H23" s="193">
        <f>+H61</f>
        <v>39722193.686491989</v>
      </c>
      <c r="I23" s="193">
        <f t="shared" ref="I23:N23" si="13">+I61</f>
        <v>62408662.036491983</v>
      </c>
      <c r="J23" s="193">
        <f t="shared" si="13"/>
        <v>80938043.094491974</v>
      </c>
      <c r="K23" s="193">
        <f t="shared" si="13"/>
        <v>86261537.324851528</v>
      </c>
      <c r="L23" s="193">
        <f t="shared" si="13"/>
        <v>91106341.720854744</v>
      </c>
      <c r="M23" s="193">
        <f t="shared" si="13"/>
        <v>11665778.764778009</v>
      </c>
      <c r="N23" s="193">
        <f t="shared" si="13"/>
        <v>89876538.811579734</v>
      </c>
      <c r="O23" s="193">
        <f>+O61</f>
        <v>92810204.31931752</v>
      </c>
      <c r="P23" s="193">
        <f>+P61</f>
        <v>96387265.097210035</v>
      </c>
      <c r="Q23" s="193">
        <f t="shared" ref="Q23:CB23" si="14">+Q61</f>
        <v>1509932189.0053256</v>
      </c>
      <c r="R23" s="193">
        <f t="shared" si="14"/>
        <v>0</v>
      </c>
      <c r="S23" s="193">
        <f t="shared" si="14"/>
        <v>0</v>
      </c>
      <c r="T23" s="193">
        <f t="shared" si="14"/>
        <v>0</v>
      </c>
      <c r="U23" s="193">
        <f t="shared" si="14"/>
        <v>0</v>
      </c>
      <c r="V23" s="193">
        <f t="shared" si="14"/>
        <v>0</v>
      </c>
      <c r="W23" s="193">
        <f t="shared" si="14"/>
        <v>0</v>
      </c>
      <c r="X23" s="193">
        <f t="shared" si="14"/>
        <v>0</v>
      </c>
      <c r="Y23" s="193">
        <f t="shared" si="14"/>
        <v>0</v>
      </c>
      <c r="Z23" s="193">
        <f t="shared" si="14"/>
        <v>0</v>
      </c>
      <c r="AA23" s="193">
        <f t="shared" si="14"/>
        <v>0</v>
      </c>
      <c r="AB23" s="193">
        <f t="shared" si="14"/>
        <v>0</v>
      </c>
      <c r="AC23" s="193">
        <f t="shared" si="14"/>
        <v>0</v>
      </c>
      <c r="AD23" s="193">
        <f t="shared" si="14"/>
        <v>0</v>
      </c>
      <c r="AE23" s="193">
        <f t="shared" si="14"/>
        <v>0</v>
      </c>
      <c r="AF23" s="193">
        <f t="shared" si="14"/>
        <v>0</v>
      </c>
      <c r="AG23" s="193">
        <f t="shared" si="14"/>
        <v>0</v>
      </c>
      <c r="AH23" s="193">
        <f t="shared" si="14"/>
        <v>0</v>
      </c>
      <c r="AI23" s="193">
        <f t="shared" si="14"/>
        <v>0</v>
      </c>
      <c r="AJ23" s="193">
        <f t="shared" si="14"/>
        <v>0</v>
      </c>
      <c r="AK23" s="193">
        <f t="shared" si="14"/>
        <v>0</v>
      </c>
      <c r="AL23" s="193">
        <f t="shared" si="14"/>
        <v>0</v>
      </c>
      <c r="AM23" s="193">
        <f t="shared" si="14"/>
        <v>0</v>
      </c>
      <c r="AN23" s="193">
        <f t="shared" si="14"/>
        <v>0</v>
      </c>
      <c r="AO23" s="193">
        <f t="shared" si="14"/>
        <v>0</v>
      </c>
      <c r="AP23" s="193">
        <f t="shared" si="14"/>
        <v>0</v>
      </c>
      <c r="AQ23" s="193">
        <f t="shared" si="14"/>
        <v>0</v>
      </c>
      <c r="AR23" s="193">
        <f t="shared" si="14"/>
        <v>0</v>
      </c>
      <c r="AS23" s="193">
        <f t="shared" si="14"/>
        <v>0</v>
      </c>
      <c r="AT23" s="193">
        <f t="shared" si="14"/>
        <v>0</v>
      </c>
      <c r="AU23" s="193">
        <f t="shared" si="14"/>
        <v>0</v>
      </c>
      <c r="AV23" s="193">
        <f t="shared" si="14"/>
        <v>0</v>
      </c>
      <c r="AW23" s="193">
        <f t="shared" si="14"/>
        <v>0</v>
      </c>
      <c r="AX23" s="193">
        <f t="shared" si="14"/>
        <v>0</v>
      </c>
      <c r="AY23" s="193">
        <f t="shared" si="14"/>
        <v>0</v>
      </c>
      <c r="AZ23" s="193">
        <f t="shared" si="14"/>
        <v>0</v>
      </c>
      <c r="BA23" s="193">
        <f t="shared" si="14"/>
        <v>0</v>
      </c>
      <c r="BB23" s="193">
        <f t="shared" si="14"/>
        <v>0</v>
      </c>
      <c r="BC23" s="193">
        <f t="shared" si="14"/>
        <v>0</v>
      </c>
      <c r="BD23" s="193">
        <f t="shared" si="14"/>
        <v>0</v>
      </c>
      <c r="BE23" s="193">
        <f t="shared" si="14"/>
        <v>0</v>
      </c>
      <c r="BF23" s="193">
        <f t="shared" si="14"/>
        <v>0</v>
      </c>
      <c r="BG23" s="193">
        <f t="shared" si="14"/>
        <v>0</v>
      </c>
      <c r="BH23" s="193">
        <f t="shared" si="14"/>
        <v>0</v>
      </c>
      <c r="BI23" s="193">
        <f t="shared" si="14"/>
        <v>0</v>
      </c>
      <c r="BJ23" s="193">
        <f t="shared" si="14"/>
        <v>0</v>
      </c>
      <c r="BK23" s="193">
        <f t="shared" si="14"/>
        <v>0</v>
      </c>
      <c r="BL23" s="193">
        <f t="shared" si="14"/>
        <v>0</v>
      </c>
      <c r="BM23" s="193">
        <f t="shared" si="14"/>
        <v>0</v>
      </c>
      <c r="BN23" s="193">
        <f t="shared" si="14"/>
        <v>0</v>
      </c>
      <c r="BO23" s="193">
        <f t="shared" si="14"/>
        <v>0</v>
      </c>
      <c r="BP23" s="193">
        <f t="shared" si="14"/>
        <v>0</v>
      </c>
      <c r="BQ23" s="193">
        <f t="shared" si="14"/>
        <v>0</v>
      </c>
      <c r="BR23" s="193">
        <f t="shared" si="14"/>
        <v>0</v>
      </c>
      <c r="BS23" s="193">
        <f t="shared" si="14"/>
        <v>0</v>
      </c>
      <c r="BT23" s="193">
        <f t="shared" si="14"/>
        <v>0</v>
      </c>
      <c r="BU23" s="193">
        <f t="shared" si="14"/>
        <v>0</v>
      </c>
      <c r="BV23" s="193">
        <f t="shared" si="14"/>
        <v>0</v>
      </c>
      <c r="BW23" s="193">
        <f t="shared" si="14"/>
        <v>0</v>
      </c>
      <c r="BX23" s="193">
        <f t="shared" si="14"/>
        <v>0</v>
      </c>
      <c r="BY23" s="193">
        <f t="shared" si="14"/>
        <v>0</v>
      </c>
      <c r="BZ23" s="193">
        <f t="shared" si="14"/>
        <v>0</v>
      </c>
      <c r="CA23" s="193">
        <f t="shared" si="14"/>
        <v>0</v>
      </c>
      <c r="CB23" s="193">
        <f t="shared" si="14"/>
        <v>0</v>
      </c>
      <c r="CC23" s="193">
        <f t="shared" ref="CC23:EN23" si="15">+CC61</f>
        <v>0</v>
      </c>
      <c r="CD23" s="193">
        <f t="shared" si="15"/>
        <v>0</v>
      </c>
      <c r="CE23" s="193">
        <f t="shared" si="15"/>
        <v>0</v>
      </c>
      <c r="CF23" s="193">
        <f t="shared" si="15"/>
        <v>0</v>
      </c>
      <c r="CG23" s="193">
        <f t="shared" si="15"/>
        <v>0</v>
      </c>
      <c r="CH23" s="193">
        <f t="shared" si="15"/>
        <v>0</v>
      </c>
      <c r="CI23" s="193">
        <f t="shared" si="15"/>
        <v>0</v>
      </c>
      <c r="CJ23" s="193">
        <f t="shared" si="15"/>
        <v>0</v>
      </c>
      <c r="CK23" s="193">
        <f t="shared" si="15"/>
        <v>0</v>
      </c>
      <c r="CL23" s="193">
        <f t="shared" si="15"/>
        <v>0</v>
      </c>
      <c r="CM23" s="193">
        <f t="shared" si="15"/>
        <v>0</v>
      </c>
      <c r="CN23" s="193">
        <f t="shared" si="15"/>
        <v>0</v>
      </c>
      <c r="CO23" s="193">
        <f t="shared" si="15"/>
        <v>0</v>
      </c>
      <c r="CP23" s="193">
        <f t="shared" si="15"/>
        <v>0</v>
      </c>
      <c r="CQ23" s="193">
        <f t="shared" si="15"/>
        <v>0</v>
      </c>
      <c r="CR23" s="193">
        <f t="shared" si="15"/>
        <v>0</v>
      </c>
      <c r="CS23" s="193">
        <f t="shared" si="15"/>
        <v>0</v>
      </c>
      <c r="CT23" s="193">
        <f t="shared" si="15"/>
        <v>0</v>
      </c>
      <c r="CU23" s="193">
        <f t="shared" si="15"/>
        <v>0</v>
      </c>
      <c r="CV23" s="193">
        <f t="shared" si="15"/>
        <v>0</v>
      </c>
      <c r="CW23" s="193">
        <f t="shared" si="15"/>
        <v>0</v>
      </c>
      <c r="CX23" s="193">
        <f t="shared" si="15"/>
        <v>0</v>
      </c>
      <c r="CY23" s="193">
        <f t="shared" si="15"/>
        <v>0</v>
      </c>
      <c r="CZ23" s="193">
        <f t="shared" si="15"/>
        <v>0</v>
      </c>
      <c r="DA23" s="193">
        <f t="shared" si="15"/>
        <v>0</v>
      </c>
      <c r="DB23" s="193">
        <f t="shared" si="15"/>
        <v>0</v>
      </c>
      <c r="DC23" s="193">
        <f t="shared" si="15"/>
        <v>0</v>
      </c>
      <c r="DD23" s="193">
        <f t="shared" si="15"/>
        <v>0</v>
      </c>
      <c r="DE23" s="193">
        <f t="shared" si="15"/>
        <v>0</v>
      </c>
      <c r="DF23" s="193">
        <f t="shared" si="15"/>
        <v>0</v>
      </c>
      <c r="DG23" s="193">
        <f t="shared" si="15"/>
        <v>0</v>
      </c>
      <c r="DH23" s="193">
        <f t="shared" si="15"/>
        <v>0</v>
      </c>
      <c r="DI23" s="193">
        <f t="shared" si="15"/>
        <v>0</v>
      </c>
      <c r="DJ23" s="193">
        <f t="shared" si="15"/>
        <v>0</v>
      </c>
      <c r="DK23" s="193">
        <f t="shared" si="15"/>
        <v>0</v>
      </c>
      <c r="DL23" s="193">
        <f t="shared" si="15"/>
        <v>0</v>
      </c>
      <c r="DM23" s="193">
        <f t="shared" si="15"/>
        <v>0</v>
      </c>
      <c r="DN23" s="193">
        <f t="shared" si="15"/>
        <v>0</v>
      </c>
      <c r="DO23" s="193">
        <f t="shared" si="15"/>
        <v>0</v>
      </c>
      <c r="DP23" s="193">
        <f t="shared" si="15"/>
        <v>0</v>
      </c>
      <c r="DQ23" s="193">
        <f t="shared" si="15"/>
        <v>0</v>
      </c>
      <c r="DR23" s="193">
        <f t="shared" si="15"/>
        <v>0</v>
      </c>
      <c r="DS23" s="193">
        <f t="shared" si="15"/>
        <v>0</v>
      </c>
      <c r="DT23" s="193">
        <f t="shared" si="15"/>
        <v>0</v>
      </c>
      <c r="DU23" s="193">
        <f t="shared" si="15"/>
        <v>0</v>
      </c>
      <c r="DV23" s="193">
        <f t="shared" si="15"/>
        <v>0</v>
      </c>
      <c r="DW23" s="193">
        <f t="shared" si="15"/>
        <v>0</v>
      </c>
      <c r="DX23" s="193">
        <f t="shared" si="15"/>
        <v>0</v>
      </c>
      <c r="DY23" s="193">
        <f t="shared" si="15"/>
        <v>0</v>
      </c>
      <c r="DZ23" s="193">
        <f t="shared" si="15"/>
        <v>0</v>
      </c>
      <c r="EA23" s="193">
        <f t="shared" si="15"/>
        <v>0</v>
      </c>
      <c r="EB23" s="193">
        <f t="shared" si="15"/>
        <v>0</v>
      </c>
      <c r="EC23" s="193">
        <f t="shared" si="15"/>
        <v>0</v>
      </c>
      <c r="ED23" s="193">
        <f t="shared" si="15"/>
        <v>0</v>
      </c>
      <c r="EE23" s="193">
        <f t="shared" si="15"/>
        <v>0</v>
      </c>
      <c r="EF23" s="193">
        <f t="shared" si="15"/>
        <v>0</v>
      </c>
      <c r="EG23" s="193">
        <f t="shared" si="15"/>
        <v>0</v>
      </c>
      <c r="EH23" s="193">
        <f t="shared" si="15"/>
        <v>0</v>
      </c>
      <c r="EI23" s="193">
        <f t="shared" si="15"/>
        <v>0</v>
      </c>
      <c r="EJ23" s="193">
        <f t="shared" si="15"/>
        <v>0</v>
      </c>
      <c r="EK23" s="193">
        <f t="shared" si="15"/>
        <v>0</v>
      </c>
      <c r="EL23" s="193">
        <f t="shared" si="15"/>
        <v>0</v>
      </c>
      <c r="EM23" s="193">
        <f t="shared" si="15"/>
        <v>0</v>
      </c>
      <c r="EN23" s="193">
        <f t="shared" si="15"/>
        <v>0</v>
      </c>
      <c r="EO23" s="193">
        <f t="shared" ref="EO23:ET23" si="16">+EO61</f>
        <v>0</v>
      </c>
      <c r="EP23" s="193">
        <f t="shared" si="16"/>
        <v>0</v>
      </c>
      <c r="EQ23" s="193">
        <f t="shared" si="16"/>
        <v>0</v>
      </c>
      <c r="ER23" s="193">
        <f t="shared" si="16"/>
        <v>0</v>
      </c>
      <c r="ES23" s="193">
        <f t="shared" si="16"/>
        <v>0</v>
      </c>
      <c r="ET23" s="193">
        <f t="shared" si="16"/>
        <v>0</v>
      </c>
      <c r="EV23" s="190" t="s">
        <v>82</v>
      </c>
    </row>
    <row r="24" spans="5:152" outlineLevel="1" x14ac:dyDescent="0.3">
      <c r="E24" t="str">
        <f>$E$4</f>
        <v>Sponsor</v>
      </c>
      <c r="G24" s="193">
        <f t="shared" ref="G24:AL24" si="17">G23/$F5*$F$4</f>
        <v>0</v>
      </c>
      <c r="H24" s="193">
        <f t="shared" si="17"/>
        <v>2090641.7729732627</v>
      </c>
      <c r="I24" s="193">
        <f t="shared" si="17"/>
        <v>3284666.4229732626</v>
      </c>
      <c r="J24" s="193">
        <f t="shared" si="17"/>
        <v>4259897.0049732616</v>
      </c>
      <c r="K24" s="193">
        <f t="shared" si="17"/>
        <v>4540080.9118342912</v>
      </c>
      <c r="L24" s="193">
        <f t="shared" si="17"/>
        <v>4795070.6168870917</v>
      </c>
      <c r="M24" s="193">
        <f t="shared" si="17"/>
        <v>613988.35604094795</v>
      </c>
      <c r="N24" s="193">
        <f t="shared" si="17"/>
        <v>4730344.1479778811</v>
      </c>
      <c r="O24" s="193">
        <f t="shared" si="17"/>
        <v>4884747.5957535543</v>
      </c>
      <c r="P24" s="193">
        <f t="shared" si="17"/>
        <v>5073013.952484739</v>
      </c>
      <c r="Q24" s="193">
        <f t="shared" si="17"/>
        <v>79470115.210806608</v>
      </c>
      <c r="R24" s="193">
        <f t="shared" si="17"/>
        <v>0</v>
      </c>
      <c r="S24" s="193">
        <f t="shared" si="17"/>
        <v>0</v>
      </c>
      <c r="T24" s="193">
        <f t="shared" si="17"/>
        <v>0</v>
      </c>
      <c r="U24" s="193">
        <f t="shared" si="17"/>
        <v>0</v>
      </c>
      <c r="V24" s="193">
        <f t="shared" si="17"/>
        <v>0</v>
      </c>
      <c r="W24" s="193">
        <f t="shared" si="17"/>
        <v>0</v>
      </c>
      <c r="X24" s="193">
        <f t="shared" si="17"/>
        <v>0</v>
      </c>
      <c r="Y24" s="193">
        <f t="shared" si="17"/>
        <v>0</v>
      </c>
      <c r="Z24" s="193">
        <f t="shared" si="17"/>
        <v>0</v>
      </c>
      <c r="AA24" s="193">
        <f t="shared" si="17"/>
        <v>0</v>
      </c>
      <c r="AB24" s="193">
        <f t="shared" si="17"/>
        <v>0</v>
      </c>
      <c r="AC24" s="193">
        <f t="shared" si="17"/>
        <v>0</v>
      </c>
      <c r="AD24" s="193">
        <f t="shared" si="17"/>
        <v>0</v>
      </c>
      <c r="AE24" s="193">
        <f t="shared" si="17"/>
        <v>0</v>
      </c>
      <c r="AF24" s="193">
        <f t="shared" si="17"/>
        <v>0</v>
      </c>
      <c r="AG24" s="193">
        <f t="shared" si="17"/>
        <v>0</v>
      </c>
      <c r="AH24" s="193">
        <f t="shared" si="17"/>
        <v>0</v>
      </c>
      <c r="AI24" s="193">
        <f t="shared" si="17"/>
        <v>0</v>
      </c>
      <c r="AJ24" s="193">
        <f t="shared" si="17"/>
        <v>0</v>
      </c>
      <c r="AK24" s="193">
        <f t="shared" si="17"/>
        <v>0</v>
      </c>
      <c r="AL24" s="193">
        <f t="shared" si="17"/>
        <v>0</v>
      </c>
      <c r="AM24" s="193">
        <f t="shared" ref="AM24:BR24" si="18">AM23/$F5*$F$4</f>
        <v>0</v>
      </c>
      <c r="AN24" s="193">
        <f t="shared" si="18"/>
        <v>0</v>
      </c>
      <c r="AO24" s="193">
        <f t="shared" si="18"/>
        <v>0</v>
      </c>
      <c r="AP24" s="193">
        <f t="shared" si="18"/>
        <v>0</v>
      </c>
      <c r="AQ24" s="193">
        <f t="shared" si="18"/>
        <v>0</v>
      </c>
      <c r="AR24" s="193">
        <f t="shared" si="18"/>
        <v>0</v>
      </c>
      <c r="AS24" s="193">
        <f t="shared" si="18"/>
        <v>0</v>
      </c>
      <c r="AT24" s="193">
        <f t="shared" si="18"/>
        <v>0</v>
      </c>
      <c r="AU24" s="193">
        <f t="shared" si="18"/>
        <v>0</v>
      </c>
      <c r="AV24" s="193">
        <f t="shared" si="18"/>
        <v>0</v>
      </c>
      <c r="AW24" s="193">
        <f t="shared" si="18"/>
        <v>0</v>
      </c>
      <c r="AX24" s="193">
        <f t="shared" si="18"/>
        <v>0</v>
      </c>
      <c r="AY24" s="193">
        <f t="shared" si="18"/>
        <v>0</v>
      </c>
      <c r="AZ24" s="193">
        <f t="shared" si="18"/>
        <v>0</v>
      </c>
      <c r="BA24" s="193">
        <f t="shared" si="18"/>
        <v>0</v>
      </c>
      <c r="BB24" s="193">
        <f t="shared" si="18"/>
        <v>0</v>
      </c>
      <c r="BC24" s="193">
        <f t="shared" si="18"/>
        <v>0</v>
      </c>
      <c r="BD24" s="193">
        <f t="shared" si="18"/>
        <v>0</v>
      </c>
      <c r="BE24" s="193">
        <f t="shared" si="18"/>
        <v>0</v>
      </c>
      <c r="BF24" s="193">
        <f t="shared" si="18"/>
        <v>0</v>
      </c>
      <c r="BG24" s="193">
        <f t="shared" si="18"/>
        <v>0</v>
      </c>
      <c r="BH24" s="193">
        <f t="shared" si="18"/>
        <v>0</v>
      </c>
      <c r="BI24" s="193">
        <f t="shared" si="18"/>
        <v>0</v>
      </c>
      <c r="BJ24" s="193">
        <f t="shared" si="18"/>
        <v>0</v>
      </c>
      <c r="BK24" s="193">
        <f t="shared" si="18"/>
        <v>0</v>
      </c>
      <c r="BL24" s="193">
        <f t="shared" si="18"/>
        <v>0</v>
      </c>
      <c r="BM24" s="193">
        <f t="shared" si="18"/>
        <v>0</v>
      </c>
      <c r="BN24" s="193">
        <f t="shared" si="18"/>
        <v>0</v>
      </c>
      <c r="BO24" s="193">
        <f t="shared" si="18"/>
        <v>0</v>
      </c>
      <c r="BP24" s="193">
        <f t="shared" si="18"/>
        <v>0</v>
      </c>
      <c r="BQ24" s="193">
        <f t="shared" si="18"/>
        <v>0</v>
      </c>
      <c r="BR24" s="193">
        <f t="shared" si="18"/>
        <v>0</v>
      </c>
      <c r="BS24" s="193">
        <f t="shared" ref="BS24:CX24" si="19">BS23/$F5*$F$4</f>
        <v>0</v>
      </c>
      <c r="BT24" s="193">
        <f t="shared" si="19"/>
        <v>0</v>
      </c>
      <c r="BU24" s="193">
        <f t="shared" si="19"/>
        <v>0</v>
      </c>
      <c r="BV24" s="193">
        <f t="shared" si="19"/>
        <v>0</v>
      </c>
      <c r="BW24" s="193">
        <f t="shared" si="19"/>
        <v>0</v>
      </c>
      <c r="BX24" s="193">
        <f t="shared" si="19"/>
        <v>0</v>
      </c>
      <c r="BY24" s="193">
        <f t="shared" si="19"/>
        <v>0</v>
      </c>
      <c r="BZ24" s="193">
        <f t="shared" si="19"/>
        <v>0</v>
      </c>
      <c r="CA24" s="193">
        <f t="shared" si="19"/>
        <v>0</v>
      </c>
      <c r="CB24" s="193">
        <f t="shared" si="19"/>
        <v>0</v>
      </c>
      <c r="CC24" s="193">
        <f t="shared" si="19"/>
        <v>0</v>
      </c>
      <c r="CD24" s="193">
        <f t="shared" si="19"/>
        <v>0</v>
      </c>
      <c r="CE24" s="193">
        <f t="shared" si="19"/>
        <v>0</v>
      </c>
      <c r="CF24" s="193">
        <f t="shared" si="19"/>
        <v>0</v>
      </c>
      <c r="CG24" s="193">
        <f t="shared" si="19"/>
        <v>0</v>
      </c>
      <c r="CH24" s="193">
        <f t="shared" si="19"/>
        <v>0</v>
      </c>
      <c r="CI24" s="193">
        <f t="shared" si="19"/>
        <v>0</v>
      </c>
      <c r="CJ24" s="193">
        <f t="shared" si="19"/>
        <v>0</v>
      </c>
      <c r="CK24" s="193">
        <f t="shared" si="19"/>
        <v>0</v>
      </c>
      <c r="CL24" s="193">
        <f t="shared" si="19"/>
        <v>0</v>
      </c>
      <c r="CM24" s="193">
        <f t="shared" si="19"/>
        <v>0</v>
      </c>
      <c r="CN24" s="193">
        <f t="shared" si="19"/>
        <v>0</v>
      </c>
      <c r="CO24" s="193">
        <f t="shared" si="19"/>
        <v>0</v>
      </c>
      <c r="CP24" s="193">
        <f t="shared" si="19"/>
        <v>0</v>
      </c>
      <c r="CQ24" s="193">
        <f t="shared" si="19"/>
        <v>0</v>
      </c>
      <c r="CR24" s="193">
        <f t="shared" si="19"/>
        <v>0</v>
      </c>
      <c r="CS24" s="193">
        <f t="shared" si="19"/>
        <v>0</v>
      </c>
      <c r="CT24" s="193">
        <f t="shared" si="19"/>
        <v>0</v>
      </c>
      <c r="CU24" s="193">
        <f t="shared" si="19"/>
        <v>0</v>
      </c>
      <c r="CV24" s="193">
        <f t="shared" si="19"/>
        <v>0</v>
      </c>
      <c r="CW24" s="193">
        <f t="shared" si="19"/>
        <v>0</v>
      </c>
      <c r="CX24" s="193">
        <f t="shared" si="19"/>
        <v>0</v>
      </c>
      <c r="CY24" s="193">
        <f t="shared" ref="CY24:ED24" si="20">CY23/$F5*$F$4</f>
        <v>0</v>
      </c>
      <c r="CZ24" s="193">
        <f t="shared" si="20"/>
        <v>0</v>
      </c>
      <c r="DA24" s="193">
        <f t="shared" si="20"/>
        <v>0</v>
      </c>
      <c r="DB24" s="193">
        <f t="shared" si="20"/>
        <v>0</v>
      </c>
      <c r="DC24" s="193">
        <f t="shared" si="20"/>
        <v>0</v>
      </c>
      <c r="DD24" s="193">
        <f t="shared" si="20"/>
        <v>0</v>
      </c>
      <c r="DE24" s="193">
        <f t="shared" si="20"/>
        <v>0</v>
      </c>
      <c r="DF24" s="193">
        <f t="shared" si="20"/>
        <v>0</v>
      </c>
      <c r="DG24" s="193">
        <f t="shared" si="20"/>
        <v>0</v>
      </c>
      <c r="DH24" s="193">
        <f t="shared" si="20"/>
        <v>0</v>
      </c>
      <c r="DI24" s="193">
        <f t="shared" si="20"/>
        <v>0</v>
      </c>
      <c r="DJ24" s="193">
        <f t="shared" si="20"/>
        <v>0</v>
      </c>
      <c r="DK24" s="193">
        <f t="shared" si="20"/>
        <v>0</v>
      </c>
      <c r="DL24" s="193">
        <f t="shared" si="20"/>
        <v>0</v>
      </c>
      <c r="DM24" s="193">
        <f t="shared" si="20"/>
        <v>0</v>
      </c>
      <c r="DN24" s="193">
        <f t="shared" si="20"/>
        <v>0</v>
      </c>
      <c r="DO24" s="193">
        <f t="shared" si="20"/>
        <v>0</v>
      </c>
      <c r="DP24" s="193">
        <f t="shared" si="20"/>
        <v>0</v>
      </c>
      <c r="DQ24" s="193">
        <f t="shared" si="20"/>
        <v>0</v>
      </c>
      <c r="DR24" s="193">
        <f t="shared" si="20"/>
        <v>0</v>
      </c>
      <c r="DS24" s="193">
        <f t="shared" si="20"/>
        <v>0</v>
      </c>
      <c r="DT24" s="193">
        <f t="shared" si="20"/>
        <v>0</v>
      </c>
      <c r="DU24" s="193">
        <f t="shared" si="20"/>
        <v>0</v>
      </c>
      <c r="DV24" s="193">
        <f t="shared" si="20"/>
        <v>0</v>
      </c>
      <c r="DW24" s="193">
        <f t="shared" si="20"/>
        <v>0</v>
      </c>
      <c r="DX24" s="193">
        <f t="shared" si="20"/>
        <v>0</v>
      </c>
      <c r="DY24" s="193">
        <f t="shared" si="20"/>
        <v>0</v>
      </c>
      <c r="DZ24" s="193">
        <f t="shared" si="20"/>
        <v>0</v>
      </c>
      <c r="EA24" s="193">
        <f t="shared" si="20"/>
        <v>0</v>
      </c>
      <c r="EB24" s="193">
        <f t="shared" si="20"/>
        <v>0</v>
      </c>
      <c r="EC24" s="193">
        <f t="shared" si="20"/>
        <v>0</v>
      </c>
      <c r="ED24" s="193">
        <f t="shared" si="20"/>
        <v>0</v>
      </c>
      <c r="EE24" s="193">
        <f t="shared" ref="EE24:ET24" si="21">EE23/$F5*$F$4</f>
        <v>0</v>
      </c>
      <c r="EF24" s="193">
        <f t="shared" si="21"/>
        <v>0</v>
      </c>
      <c r="EG24" s="193">
        <f t="shared" si="21"/>
        <v>0</v>
      </c>
      <c r="EH24" s="193">
        <f t="shared" si="21"/>
        <v>0</v>
      </c>
      <c r="EI24" s="193">
        <f t="shared" si="21"/>
        <v>0</v>
      </c>
      <c r="EJ24" s="193">
        <f t="shared" si="21"/>
        <v>0</v>
      </c>
      <c r="EK24" s="193">
        <f t="shared" si="21"/>
        <v>0</v>
      </c>
      <c r="EL24" s="193">
        <f t="shared" si="21"/>
        <v>0</v>
      </c>
      <c r="EM24" s="193">
        <f t="shared" si="21"/>
        <v>0</v>
      </c>
      <c r="EN24" s="193">
        <f t="shared" si="21"/>
        <v>0</v>
      </c>
      <c r="EO24" s="193">
        <f t="shared" si="21"/>
        <v>0</v>
      </c>
      <c r="EP24" s="193">
        <f t="shared" si="21"/>
        <v>0</v>
      </c>
      <c r="EQ24" s="193">
        <f t="shared" si="21"/>
        <v>0</v>
      </c>
      <c r="ER24" s="193">
        <f t="shared" si="21"/>
        <v>0</v>
      </c>
      <c r="ES24" s="193">
        <f t="shared" si="21"/>
        <v>0</v>
      </c>
      <c r="ET24" s="193">
        <f t="shared" si="21"/>
        <v>0</v>
      </c>
      <c r="EV24" s="190" t="s">
        <v>82</v>
      </c>
    </row>
    <row r="25" spans="5:152" outlineLevel="1" x14ac:dyDescent="0.3">
      <c r="E25" t="s">
        <v>85</v>
      </c>
      <c r="G25" s="193">
        <f t="shared" ref="G25:BR25" si="22">SUM(G23:G24)</f>
        <v>0</v>
      </c>
      <c r="H25" s="193">
        <f t="shared" si="22"/>
        <v>41812835.45946525</v>
      </c>
      <c r="I25" s="193">
        <f t="shared" si="22"/>
        <v>65693328.459465243</v>
      </c>
      <c r="J25" s="193">
        <f t="shared" si="22"/>
        <v>85197940.099465236</v>
      </c>
      <c r="K25" s="193">
        <f t="shared" si="22"/>
        <v>90801618.236685812</v>
      </c>
      <c r="L25" s="193">
        <f t="shared" si="22"/>
        <v>95901412.337741837</v>
      </c>
      <c r="M25" s="193">
        <f t="shared" si="22"/>
        <v>12279767.120818956</v>
      </c>
      <c r="N25" s="193">
        <f t="shared" si="22"/>
        <v>94606882.959557623</v>
      </c>
      <c r="O25" s="193">
        <f t="shared" si="22"/>
        <v>97694951.91507107</v>
      </c>
      <c r="P25" s="193">
        <f t="shared" si="22"/>
        <v>101460279.04969478</v>
      </c>
      <c r="Q25" s="193">
        <f t="shared" si="22"/>
        <v>1589402304.2161322</v>
      </c>
      <c r="R25" s="193">
        <f t="shared" si="22"/>
        <v>0</v>
      </c>
      <c r="S25" s="193">
        <f t="shared" si="22"/>
        <v>0</v>
      </c>
      <c r="T25" s="193">
        <f t="shared" si="22"/>
        <v>0</v>
      </c>
      <c r="U25" s="193">
        <f t="shared" si="22"/>
        <v>0</v>
      </c>
      <c r="V25" s="193">
        <f t="shared" si="22"/>
        <v>0</v>
      </c>
      <c r="W25" s="193">
        <f t="shared" si="22"/>
        <v>0</v>
      </c>
      <c r="X25" s="193">
        <f t="shared" si="22"/>
        <v>0</v>
      </c>
      <c r="Y25" s="193">
        <f t="shared" si="22"/>
        <v>0</v>
      </c>
      <c r="Z25" s="193">
        <f t="shared" si="22"/>
        <v>0</v>
      </c>
      <c r="AA25" s="193">
        <f t="shared" si="22"/>
        <v>0</v>
      </c>
      <c r="AB25" s="193">
        <f t="shared" si="22"/>
        <v>0</v>
      </c>
      <c r="AC25" s="193">
        <f t="shared" si="22"/>
        <v>0</v>
      </c>
      <c r="AD25" s="193">
        <f t="shared" si="22"/>
        <v>0</v>
      </c>
      <c r="AE25" s="193">
        <f t="shared" si="22"/>
        <v>0</v>
      </c>
      <c r="AF25" s="193">
        <f t="shared" si="22"/>
        <v>0</v>
      </c>
      <c r="AG25" s="193">
        <f t="shared" si="22"/>
        <v>0</v>
      </c>
      <c r="AH25" s="193">
        <f t="shared" si="22"/>
        <v>0</v>
      </c>
      <c r="AI25" s="193">
        <f t="shared" si="22"/>
        <v>0</v>
      </c>
      <c r="AJ25" s="193">
        <f t="shared" si="22"/>
        <v>0</v>
      </c>
      <c r="AK25" s="193">
        <f t="shared" si="22"/>
        <v>0</v>
      </c>
      <c r="AL25" s="193">
        <f t="shared" si="22"/>
        <v>0</v>
      </c>
      <c r="AM25" s="193">
        <f t="shared" si="22"/>
        <v>0</v>
      </c>
      <c r="AN25" s="193">
        <f t="shared" si="22"/>
        <v>0</v>
      </c>
      <c r="AO25" s="193">
        <f t="shared" si="22"/>
        <v>0</v>
      </c>
      <c r="AP25" s="193">
        <f t="shared" si="22"/>
        <v>0</v>
      </c>
      <c r="AQ25" s="193">
        <f t="shared" si="22"/>
        <v>0</v>
      </c>
      <c r="AR25" s="193">
        <f t="shared" si="22"/>
        <v>0</v>
      </c>
      <c r="AS25" s="193">
        <f t="shared" si="22"/>
        <v>0</v>
      </c>
      <c r="AT25" s="193">
        <f t="shared" si="22"/>
        <v>0</v>
      </c>
      <c r="AU25" s="193">
        <f t="shared" si="22"/>
        <v>0</v>
      </c>
      <c r="AV25" s="193">
        <f t="shared" si="22"/>
        <v>0</v>
      </c>
      <c r="AW25" s="193">
        <f t="shared" si="22"/>
        <v>0</v>
      </c>
      <c r="AX25" s="193">
        <f t="shared" si="22"/>
        <v>0</v>
      </c>
      <c r="AY25" s="193">
        <f t="shared" si="22"/>
        <v>0</v>
      </c>
      <c r="AZ25" s="193">
        <f t="shared" si="22"/>
        <v>0</v>
      </c>
      <c r="BA25" s="193">
        <f t="shared" si="22"/>
        <v>0</v>
      </c>
      <c r="BB25" s="193">
        <f t="shared" si="22"/>
        <v>0</v>
      </c>
      <c r="BC25" s="193">
        <f t="shared" si="22"/>
        <v>0</v>
      </c>
      <c r="BD25" s="193">
        <f t="shared" si="22"/>
        <v>0</v>
      </c>
      <c r="BE25" s="193">
        <f t="shared" si="22"/>
        <v>0</v>
      </c>
      <c r="BF25" s="193">
        <f t="shared" si="22"/>
        <v>0</v>
      </c>
      <c r="BG25" s="193">
        <f t="shared" si="22"/>
        <v>0</v>
      </c>
      <c r="BH25" s="193">
        <f t="shared" si="22"/>
        <v>0</v>
      </c>
      <c r="BI25" s="193">
        <f t="shared" si="22"/>
        <v>0</v>
      </c>
      <c r="BJ25" s="193">
        <f t="shared" si="22"/>
        <v>0</v>
      </c>
      <c r="BK25" s="193">
        <f t="shared" si="22"/>
        <v>0</v>
      </c>
      <c r="BL25" s="193">
        <f t="shared" si="22"/>
        <v>0</v>
      </c>
      <c r="BM25" s="193">
        <f t="shared" si="22"/>
        <v>0</v>
      </c>
      <c r="BN25" s="193">
        <f t="shared" si="22"/>
        <v>0</v>
      </c>
      <c r="BO25" s="193">
        <f t="shared" si="22"/>
        <v>0</v>
      </c>
      <c r="BP25" s="193">
        <f t="shared" si="22"/>
        <v>0</v>
      </c>
      <c r="BQ25" s="193">
        <f t="shared" si="22"/>
        <v>0</v>
      </c>
      <c r="BR25" s="193">
        <f t="shared" si="22"/>
        <v>0</v>
      </c>
      <c r="BS25" s="193">
        <f t="shared" ref="BS25:ED25" si="23">SUM(BS23:BS24)</f>
        <v>0</v>
      </c>
      <c r="BT25" s="193">
        <f t="shared" si="23"/>
        <v>0</v>
      </c>
      <c r="BU25" s="193">
        <f t="shared" si="23"/>
        <v>0</v>
      </c>
      <c r="BV25" s="193">
        <f t="shared" si="23"/>
        <v>0</v>
      </c>
      <c r="BW25" s="193">
        <f t="shared" si="23"/>
        <v>0</v>
      </c>
      <c r="BX25" s="193">
        <f t="shared" si="23"/>
        <v>0</v>
      </c>
      <c r="BY25" s="193">
        <f t="shared" si="23"/>
        <v>0</v>
      </c>
      <c r="BZ25" s="193">
        <f t="shared" si="23"/>
        <v>0</v>
      </c>
      <c r="CA25" s="193">
        <f t="shared" si="23"/>
        <v>0</v>
      </c>
      <c r="CB25" s="193">
        <f t="shared" si="23"/>
        <v>0</v>
      </c>
      <c r="CC25" s="193">
        <f t="shared" si="23"/>
        <v>0</v>
      </c>
      <c r="CD25" s="193">
        <f t="shared" si="23"/>
        <v>0</v>
      </c>
      <c r="CE25" s="193">
        <f t="shared" si="23"/>
        <v>0</v>
      </c>
      <c r="CF25" s="193">
        <f t="shared" si="23"/>
        <v>0</v>
      </c>
      <c r="CG25" s="193">
        <f t="shared" si="23"/>
        <v>0</v>
      </c>
      <c r="CH25" s="193">
        <f t="shared" si="23"/>
        <v>0</v>
      </c>
      <c r="CI25" s="193">
        <f t="shared" si="23"/>
        <v>0</v>
      </c>
      <c r="CJ25" s="193">
        <f t="shared" si="23"/>
        <v>0</v>
      </c>
      <c r="CK25" s="193">
        <f t="shared" si="23"/>
        <v>0</v>
      </c>
      <c r="CL25" s="193">
        <f t="shared" si="23"/>
        <v>0</v>
      </c>
      <c r="CM25" s="193">
        <f t="shared" si="23"/>
        <v>0</v>
      </c>
      <c r="CN25" s="193">
        <f t="shared" si="23"/>
        <v>0</v>
      </c>
      <c r="CO25" s="193">
        <f t="shared" si="23"/>
        <v>0</v>
      </c>
      <c r="CP25" s="193">
        <f t="shared" si="23"/>
        <v>0</v>
      </c>
      <c r="CQ25" s="193">
        <f t="shared" si="23"/>
        <v>0</v>
      </c>
      <c r="CR25" s="193">
        <f t="shared" si="23"/>
        <v>0</v>
      </c>
      <c r="CS25" s="193">
        <f t="shared" si="23"/>
        <v>0</v>
      </c>
      <c r="CT25" s="193">
        <f t="shared" si="23"/>
        <v>0</v>
      </c>
      <c r="CU25" s="193">
        <f t="shared" si="23"/>
        <v>0</v>
      </c>
      <c r="CV25" s="193">
        <f t="shared" si="23"/>
        <v>0</v>
      </c>
      <c r="CW25" s="193">
        <f t="shared" si="23"/>
        <v>0</v>
      </c>
      <c r="CX25" s="193">
        <f t="shared" si="23"/>
        <v>0</v>
      </c>
      <c r="CY25" s="193">
        <f t="shared" si="23"/>
        <v>0</v>
      </c>
      <c r="CZ25" s="193">
        <f t="shared" si="23"/>
        <v>0</v>
      </c>
      <c r="DA25" s="193">
        <f t="shared" si="23"/>
        <v>0</v>
      </c>
      <c r="DB25" s="193">
        <f t="shared" si="23"/>
        <v>0</v>
      </c>
      <c r="DC25" s="193">
        <f t="shared" si="23"/>
        <v>0</v>
      </c>
      <c r="DD25" s="193">
        <f t="shared" si="23"/>
        <v>0</v>
      </c>
      <c r="DE25" s="193">
        <f t="shared" si="23"/>
        <v>0</v>
      </c>
      <c r="DF25" s="193">
        <f t="shared" si="23"/>
        <v>0</v>
      </c>
      <c r="DG25" s="193">
        <f t="shared" si="23"/>
        <v>0</v>
      </c>
      <c r="DH25" s="193">
        <f t="shared" si="23"/>
        <v>0</v>
      </c>
      <c r="DI25" s="193">
        <f t="shared" si="23"/>
        <v>0</v>
      </c>
      <c r="DJ25" s="193">
        <f t="shared" si="23"/>
        <v>0</v>
      </c>
      <c r="DK25" s="193">
        <f t="shared" si="23"/>
        <v>0</v>
      </c>
      <c r="DL25" s="193">
        <f t="shared" si="23"/>
        <v>0</v>
      </c>
      <c r="DM25" s="193">
        <f t="shared" si="23"/>
        <v>0</v>
      </c>
      <c r="DN25" s="193">
        <f t="shared" si="23"/>
        <v>0</v>
      </c>
      <c r="DO25" s="193">
        <f t="shared" si="23"/>
        <v>0</v>
      </c>
      <c r="DP25" s="193">
        <f t="shared" si="23"/>
        <v>0</v>
      </c>
      <c r="DQ25" s="193">
        <f t="shared" si="23"/>
        <v>0</v>
      </c>
      <c r="DR25" s="193">
        <f t="shared" si="23"/>
        <v>0</v>
      </c>
      <c r="DS25" s="193">
        <f t="shared" si="23"/>
        <v>0</v>
      </c>
      <c r="DT25" s="193">
        <f t="shared" si="23"/>
        <v>0</v>
      </c>
      <c r="DU25" s="193">
        <f t="shared" si="23"/>
        <v>0</v>
      </c>
      <c r="DV25" s="193">
        <f t="shared" si="23"/>
        <v>0</v>
      </c>
      <c r="DW25" s="193">
        <f t="shared" si="23"/>
        <v>0</v>
      </c>
      <c r="DX25" s="193">
        <f t="shared" si="23"/>
        <v>0</v>
      </c>
      <c r="DY25" s="193">
        <f t="shared" si="23"/>
        <v>0</v>
      </c>
      <c r="DZ25" s="193">
        <f t="shared" si="23"/>
        <v>0</v>
      </c>
      <c r="EA25" s="193">
        <f t="shared" si="23"/>
        <v>0</v>
      </c>
      <c r="EB25" s="193">
        <f t="shared" si="23"/>
        <v>0</v>
      </c>
      <c r="EC25" s="193">
        <f t="shared" si="23"/>
        <v>0</v>
      </c>
      <c r="ED25" s="193">
        <f t="shared" si="23"/>
        <v>0</v>
      </c>
      <c r="EE25" s="193">
        <f t="shared" ref="EE25:ET25" si="24">SUM(EE23:EE24)</f>
        <v>0</v>
      </c>
      <c r="EF25" s="193">
        <f t="shared" si="24"/>
        <v>0</v>
      </c>
      <c r="EG25" s="193">
        <f t="shared" si="24"/>
        <v>0</v>
      </c>
      <c r="EH25" s="193">
        <f t="shared" si="24"/>
        <v>0</v>
      </c>
      <c r="EI25" s="193">
        <f t="shared" si="24"/>
        <v>0</v>
      </c>
      <c r="EJ25" s="193">
        <f t="shared" si="24"/>
        <v>0</v>
      </c>
      <c r="EK25" s="193">
        <f t="shared" si="24"/>
        <v>0</v>
      </c>
      <c r="EL25" s="193">
        <f t="shared" si="24"/>
        <v>0</v>
      </c>
      <c r="EM25" s="193">
        <f t="shared" si="24"/>
        <v>0</v>
      </c>
      <c r="EN25" s="193">
        <f t="shared" si="24"/>
        <v>0</v>
      </c>
      <c r="EO25" s="193">
        <f t="shared" si="24"/>
        <v>0</v>
      </c>
      <c r="EP25" s="193">
        <f t="shared" si="24"/>
        <v>0</v>
      </c>
      <c r="EQ25" s="193">
        <f t="shared" si="24"/>
        <v>0</v>
      </c>
      <c r="ER25" s="193">
        <f t="shared" si="24"/>
        <v>0</v>
      </c>
      <c r="ES25" s="193">
        <f t="shared" si="24"/>
        <v>0</v>
      </c>
      <c r="ET25" s="193">
        <f t="shared" si="24"/>
        <v>0</v>
      </c>
      <c r="EV25" s="190" t="s">
        <v>82</v>
      </c>
    </row>
    <row r="26" spans="5:152" outlineLevel="1" x14ac:dyDescent="0.3">
      <c r="EV26" s="190" t="s">
        <v>82</v>
      </c>
    </row>
    <row r="27" spans="5:152" outlineLevel="1" x14ac:dyDescent="0.3">
      <c r="E27" t="s">
        <v>87</v>
      </c>
      <c r="G27">
        <f t="shared" ref="G27:AL27" si="25">ROUND(IF(G$11&gt;0,G11-G25,0),2)</f>
        <v>0</v>
      </c>
      <c r="H27">
        <f t="shared" si="25"/>
        <v>0</v>
      </c>
      <c r="I27">
        <f t="shared" si="25"/>
        <v>0</v>
      </c>
      <c r="J27">
        <f t="shared" si="25"/>
        <v>0</v>
      </c>
      <c r="K27">
        <f t="shared" si="25"/>
        <v>0</v>
      </c>
      <c r="L27">
        <f t="shared" si="25"/>
        <v>0</v>
      </c>
      <c r="M27">
        <f t="shared" si="25"/>
        <v>0</v>
      </c>
      <c r="N27">
        <f t="shared" si="25"/>
        <v>0</v>
      </c>
      <c r="O27">
        <f t="shared" si="25"/>
        <v>0</v>
      </c>
      <c r="P27">
        <f t="shared" si="25"/>
        <v>0</v>
      </c>
      <c r="Q27">
        <f t="shared" si="25"/>
        <v>0</v>
      </c>
      <c r="R27">
        <f t="shared" si="25"/>
        <v>0</v>
      </c>
      <c r="S27">
        <f t="shared" si="25"/>
        <v>0</v>
      </c>
      <c r="T27">
        <f t="shared" si="25"/>
        <v>0</v>
      </c>
      <c r="U27">
        <f t="shared" si="25"/>
        <v>0</v>
      </c>
      <c r="V27">
        <f t="shared" si="25"/>
        <v>0</v>
      </c>
      <c r="W27">
        <f t="shared" si="25"/>
        <v>0</v>
      </c>
      <c r="X27">
        <f t="shared" si="25"/>
        <v>0</v>
      </c>
      <c r="Y27">
        <f t="shared" si="25"/>
        <v>0</v>
      </c>
      <c r="Z27">
        <f t="shared" si="25"/>
        <v>0</v>
      </c>
      <c r="AA27">
        <f t="shared" si="25"/>
        <v>0</v>
      </c>
      <c r="AB27">
        <f t="shared" si="25"/>
        <v>0</v>
      </c>
      <c r="AC27">
        <f t="shared" si="25"/>
        <v>0</v>
      </c>
      <c r="AD27">
        <f t="shared" si="25"/>
        <v>0</v>
      </c>
      <c r="AE27">
        <f t="shared" si="25"/>
        <v>0</v>
      </c>
      <c r="AF27">
        <f t="shared" si="25"/>
        <v>0</v>
      </c>
      <c r="AG27">
        <f t="shared" si="25"/>
        <v>0</v>
      </c>
      <c r="AH27">
        <f t="shared" si="25"/>
        <v>0</v>
      </c>
      <c r="AI27">
        <f t="shared" si="25"/>
        <v>0</v>
      </c>
      <c r="AJ27">
        <f t="shared" si="25"/>
        <v>0</v>
      </c>
      <c r="AK27">
        <f t="shared" si="25"/>
        <v>0</v>
      </c>
      <c r="AL27">
        <f t="shared" si="25"/>
        <v>0</v>
      </c>
      <c r="AM27">
        <f t="shared" ref="AM27:BR27" si="26">ROUND(IF(AM$11&gt;0,AM11-AM25,0),2)</f>
        <v>0</v>
      </c>
      <c r="AN27">
        <f t="shared" si="26"/>
        <v>0</v>
      </c>
      <c r="AO27">
        <f t="shared" si="26"/>
        <v>0</v>
      </c>
      <c r="AP27">
        <f t="shared" si="26"/>
        <v>0</v>
      </c>
      <c r="AQ27">
        <f t="shared" si="26"/>
        <v>0</v>
      </c>
      <c r="AR27">
        <f t="shared" si="26"/>
        <v>0</v>
      </c>
      <c r="AS27">
        <f t="shared" si="26"/>
        <v>0</v>
      </c>
      <c r="AT27">
        <f t="shared" si="26"/>
        <v>0</v>
      </c>
      <c r="AU27">
        <f t="shared" si="26"/>
        <v>0</v>
      </c>
      <c r="AV27">
        <f t="shared" si="26"/>
        <v>0</v>
      </c>
      <c r="AW27">
        <f t="shared" si="26"/>
        <v>0</v>
      </c>
      <c r="AX27">
        <f t="shared" si="26"/>
        <v>0</v>
      </c>
      <c r="AY27">
        <f t="shared" si="26"/>
        <v>0</v>
      </c>
      <c r="AZ27">
        <f t="shared" si="26"/>
        <v>0</v>
      </c>
      <c r="BA27">
        <f t="shared" si="26"/>
        <v>0</v>
      </c>
      <c r="BB27">
        <f t="shared" si="26"/>
        <v>0</v>
      </c>
      <c r="BC27">
        <f t="shared" si="26"/>
        <v>0</v>
      </c>
      <c r="BD27">
        <f t="shared" si="26"/>
        <v>0</v>
      </c>
      <c r="BE27">
        <f t="shared" si="26"/>
        <v>0</v>
      </c>
      <c r="BF27">
        <f t="shared" si="26"/>
        <v>0</v>
      </c>
      <c r="BG27">
        <f t="shared" si="26"/>
        <v>0</v>
      </c>
      <c r="BH27">
        <f t="shared" si="26"/>
        <v>0</v>
      </c>
      <c r="BI27">
        <f t="shared" si="26"/>
        <v>0</v>
      </c>
      <c r="BJ27">
        <f t="shared" si="26"/>
        <v>0</v>
      </c>
      <c r="BK27">
        <f t="shared" si="26"/>
        <v>0</v>
      </c>
      <c r="BL27">
        <f t="shared" si="26"/>
        <v>0</v>
      </c>
      <c r="BM27">
        <f t="shared" si="26"/>
        <v>0</v>
      </c>
      <c r="BN27">
        <f t="shared" si="26"/>
        <v>0</v>
      </c>
      <c r="BO27">
        <f t="shared" si="26"/>
        <v>0</v>
      </c>
      <c r="BP27">
        <f t="shared" si="26"/>
        <v>0</v>
      </c>
      <c r="BQ27">
        <f t="shared" si="26"/>
        <v>0</v>
      </c>
      <c r="BR27">
        <f t="shared" si="26"/>
        <v>0</v>
      </c>
      <c r="BS27">
        <f t="shared" ref="BS27:ED27" si="27">ROUND(IF(BS$11&gt;0,BS11-BS25,0),2)</f>
        <v>0</v>
      </c>
      <c r="BT27">
        <f t="shared" si="27"/>
        <v>0</v>
      </c>
      <c r="BU27">
        <f t="shared" si="27"/>
        <v>0</v>
      </c>
      <c r="BV27">
        <f t="shared" si="27"/>
        <v>0</v>
      </c>
      <c r="BW27">
        <f t="shared" si="27"/>
        <v>0</v>
      </c>
      <c r="BX27">
        <f t="shared" si="27"/>
        <v>0</v>
      </c>
      <c r="BY27">
        <f t="shared" si="27"/>
        <v>0</v>
      </c>
      <c r="BZ27">
        <f t="shared" si="27"/>
        <v>0</v>
      </c>
      <c r="CA27">
        <f t="shared" si="27"/>
        <v>0</v>
      </c>
      <c r="CB27">
        <f t="shared" si="27"/>
        <v>0</v>
      </c>
      <c r="CC27">
        <f t="shared" si="27"/>
        <v>0</v>
      </c>
      <c r="CD27">
        <f t="shared" si="27"/>
        <v>0</v>
      </c>
      <c r="CE27">
        <f t="shared" si="27"/>
        <v>0</v>
      </c>
      <c r="CF27">
        <f t="shared" si="27"/>
        <v>0</v>
      </c>
      <c r="CG27">
        <f t="shared" si="27"/>
        <v>0</v>
      </c>
      <c r="CH27">
        <f t="shared" si="27"/>
        <v>0</v>
      </c>
      <c r="CI27">
        <f t="shared" si="27"/>
        <v>0</v>
      </c>
      <c r="CJ27">
        <f t="shared" si="27"/>
        <v>0</v>
      </c>
      <c r="CK27">
        <f t="shared" si="27"/>
        <v>0</v>
      </c>
      <c r="CL27">
        <f t="shared" si="27"/>
        <v>0</v>
      </c>
      <c r="CM27">
        <f t="shared" si="27"/>
        <v>0</v>
      </c>
      <c r="CN27">
        <f t="shared" si="27"/>
        <v>0</v>
      </c>
      <c r="CO27">
        <f t="shared" si="27"/>
        <v>0</v>
      </c>
      <c r="CP27">
        <f t="shared" si="27"/>
        <v>0</v>
      </c>
      <c r="CQ27">
        <f t="shared" si="27"/>
        <v>0</v>
      </c>
      <c r="CR27">
        <f t="shared" si="27"/>
        <v>0</v>
      </c>
      <c r="CS27">
        <f t="shared" si="27"/>
        <v>0</v>
      </c>
      <c r="CT27">
        <f t="shared" si="27"/>
        <v>0</v>
      </c>
      <c r="CU27">
        <f t="shared" si="27"/>
        <v>0</v>
      </c>
      <c r="CV27">
        <f t="shared" si="27"/>
        <v>0</v>
      </c>
      <c r="CW27">
        <f t="shared" si="27"/>
        <v>0</v>
      </c>
      <c r="CX27">
        <f t="shared" si="27"/>
        <v>0</v>
      </c>
      <c r="CY27">
        <f t="shared" si="27"/>
        <v>0</v>
      </c>
      <c r="CZ27">
        <f t="shared" si="27"/>
        <v>0</v>
      </c>
      <c r="DA27">
        <f t="shared" si="27"/>
        <v>0</v>
      </c>
      <c r="DB27">
        <f t="shared" si="27"/>
        <v>0</v>
      </c>
      <c r="DC27">
        <f t="shared" si="27"/>
        <v>0</v>
      </c>
      <c r="DD27">
        <f t="shared" si="27"/>
        <v>0</v>
      </c>
      <c r="DE27">
        <f t="shared" si="27"/>
        <v>0</v>
      </c>
      <c r="DF27">
        <f t="shared" si="27"/>
        <v>0</v>
      </c>
      <c r="DG27">
        <f t="shared" si="27"/>
        <v>0</v>
      </c>
      <c r="DH27">
        <f t="shared" si="27"/>
        <v>0</v>
      </c>
      <c r="DI27">
        <f t="shared" si="27"/>
        <v>0</v>
      </c>
      <c r="DJ27">
        <f t="shared" si="27"/>
        <v>0</v>
      </c>
      <c r="DK27">
        <f t="shared" si="27"/>
        <v>0</v>
      </c>
      <c r="DL27">
        <f t="shared" si="27"/>
        <v>0</v>
      </c>
      <c r="DM27">
        <f t="shared" si="27"/>
        <v>0</v>
      </c>
      <c r="DN27">
        <f t="shared" si="27"/>
        <v>0</v>
      </c>
      <c r="DO27">
        <f t="shared" si="27"/>
        <v>0</v>
      </c>
      <c r="DP27">
        <f t="shared" si="27"/>
        <v>0</v>
      </c>
      <c r="DQ27">
        <f t="shared" si="27"/>
        <v>0</v>
      </c>
      <c r="DR27">
        <f t="shared" si="27"/>
        <v>0</v>
      </c>
      <c r="DS27">
        <f t="shared" si="27"/>
        <v>0</v>
      </c>
      <c r="DT27">
        <f t="shared" si="27"/>
        <v>0</v>
      </c>
      <c r="DU27">
        <f t="shared" si="27"/>
        <v>0</v>
      </c>
      <c r="DV27">
        <f t="shared" si="27"/>
        <v>0</v>
      </c>
      <c r="DW27">
        <f t="shared" si="27"/>
        <v>0</v>
      </c>
      <c r="DX27">
        <f t="shared" si="27"/>
        <v>0</v>
      </c>
      <c r="DY27">
        <f t="shared" si="27"/>
        <v>0</v>
      </c>
      <c r="DZ27">
        <f t="shared" si="27"/>
        <v>0</v>
      </c>
      <c r="EA27">
        <f t="shared" si="27"/>
        <v>0</v>
      </c>
      <c r="EB27">
        <f t="shared" si="27"/>
        <v>0</v>
      </c>
      <c r="EC27">
        <f t="shared" si="27"/>
        <v>0</v>
      </c>
      <c r="ED27">
        <f t="shared" si="27"/>
        <v>0</v>
      </c>
      <c r="EE27">
        <f t="shared" ref="EE27:ET27" si="28">ROUND(IF(EE$11&gt;0,EE11-EE25,0),2)</f>
        <v>0</v>
      </c>
      <c r="EF27">
        <f t="shared" si="28"/>
        <v>0</v>
      </c>
      <c r="EG27">
        <f t="shared" si="28"/>
        <v>0</v>
      </c>
      <c r="EH27">
        <f t="shared" si="28"/>
        <v>0</v>
      </c>
      <c r="EI27">
        <f t="shared" si="28"/>
        <v>0</v>
      </c>
      <c r="EJ27">
        <f t="shared" si="28"/>
        <v>0</v>
      </c>
      <c r="EK27">
        <f t="shared" si="28"/>
        <v>0</v>
      </c>
      <c r="EL27">
        <f t="shared" si="28"/>
        <v>0</v>
      </c>
      <c r="EM27">
        <f t="shared" si="28"/>
        <v>0</v>
      </c>
      <c r="EN27">
        <f t="shared" si="28"/>
        <v>0</v>
      </c>
      <c r="EO27">
        <f t="shared" si="28"/>
        <v>0</v>
      </c>
      <c r="EP27">
        <f t="shared" si="28"/>
        <v>0</v>
      </c>
      <c r="EQ27">
        <f t="shared" si="28"/>
        <v>0</v>
      </c>
      <c r="ER27">
        <f t="shared" si="28"/>
        <v>0</v>
      </c>
      <c r="ES27">
        <f t="shared" si="28"/>
        <v>0</v>
      </c>
      <c r="ET27">
        <f t="shared" si="28"/>
        <v>0</v>
      </c>
      <c r="EV27" s="190" t="s">
        <v>82</v>
      </c>
    </row>
    <row r="28" spans="5:152" outlineLevel="1" x14ac:dyDescent="0.3">
      <c r="G28" s="193"/>
      <c r="H28" s="193"/>
      <c r="I28" s="193"/>
      <c r="J28" s="193"/>
      <c r="K28" s="193"/>
      <c r="L28" s="193"/>
      <c r="M28" s="193"/>
      <c r="N28" s="193"/>
      <c r="O28" s="193"/>
      <c r="P28" s="193"/>
      <c r="Q28" s="193"/>
      <c r="R28" s="193"/>
      <c r="S28" s="193"/>
      <c r="T28" s="193"/>
      <c r="U28" s="193"/>
      <c r="V28" s="193"/>
      <c r="W28" s="193"/>
      <c r="X28" s="193"/>
      <c r="Y28" s="193"/>
      <c r="Z28" s="193"/>
      <c r="AA28" s="193"/>
      <c r="AB28" s="193"/>
      <c r="AC28" s="193"/>
      <c r="AD28" s="193"/>
      <c r="AE28" s="193"/>
      <c r="AF28" s="193"/>
      <c r="AG28" s="193"/>
      <c r="AH28" s="193"/>
      <c r="AI28" s="193"/>
      <c r="AJ28" s="193"/>
      <c r="AK28" s="193"/>
      <c r="AL28" s="193"/>
      <c r="AM28" s="193"/>
      <c r="AN28" s="193"/>
      <c r="AO28" s="193"/>
      <c r="AP28" s="193"/>
      <c r="AQ28" s="193"/>
      <c r="AR28" s="193"/>
      <c r="AS28" s="193"/>
      <c r="AT28" s="193"/>
      <c r="AU28" s="193"/>
      <c r="AV28" s="193"/>
      <c r="AW28" s="193"/>
      <c r="AX28" s="193"/>
      <c r="AY28" s="193"/>
      <c r="AZ28" s="193"/>
      <c r="BA28" s="193"/>
      <c r="BB28" s="193"/>
      <c r="BC28" s="193"/>
      <c r="BD28" s="193"/>
      <c r="BE28" s="193"/>
      <c r="BF28" s="193"/>
      <c r="BG28" s="193"/>
      <c r="BH28" s="193"/>
      <c r="BI28" s="193"/>
      <c r="BJ28" s="193"/>
      <c r="BK28" s="193"/>
      <c r="BL28" s="193"/>
      <c r="BM28" s="193"/>
      <c r="BN28" s="193"/>
      <c r="BO28" s="193"/>
      <c r="BP28" s="193"/>
      <c r="BQ28" s="193"/>
      <c r="BR28" s="193"/>
      <c r="BS28" s="193"/>
      <c r="BT28" s="193"/>
      <c r="BU28" s="193"/>
      <c r="BV28" s="193"/>
      <c r="BW28" s="193"/>
      <c r="BX28" s="193"/>
      <c r="BY28" s="193"/>
      <c r="BZ28" s="193"/>
      <c r="CA28" s="193"/>
      <c r="CB28" s="193"/>
      <c r="CC28" s="193"/>
      <c r="CD28" s="193"/>
      <c r="CE28" s="193"/>
      <c r="CF28" s="193"/>
      <c r="CG28" s="193"/>
      <c r="CH28" s="193"/>
      <c r="CI28" s="193"/>
      <c r="CJ28" s="193"/>
      <c r="CK28" s="193"/>
      <c r="CL28" s="193"/>
      <c r="CM28" s="193"/>
      <c r="CN28" s="193"/>
      <c r="CO28" s="193"/>
      <c r="CP28" s="193"/>
      <c r="CQ28" s="193"/>
      <c r="CR28" s="193"/>
      <c r="CS28" s="193"/>
      <c r="CT28" s="193"/>
      <c r="CU28" s="193"/>
      <c r="CV28" s="193"/>
      <c r="CW28" s="193"/>
      <c r="CX28" s="193"/>
      <c r="CY28" s="193"/>
      <c r="CZ28" s="193"/>
      <c r="DA28" s="193"/>
      <c r="DB28" s="193"/>
      <c r="DC28" s="193"/>
      <c r="DD28" s="193"/>
      <c r="DE28" s="193"/>
      <c r="DF28" s="193"/>
      <c r="DG28" s="193"/>
      <c r="DH28" s="193"/>
      <c r="DI28" s="193"/>
      <c r="DJ28" s="193"/>
      <c r="DK28" s="193"/>
      <c r="DL28" s="193"/>
      <c r="DM28" s="193"/>
      <c r="DN28" s="193"/>
      <c r="DO28" s="193"/>
      <c r="DP28" s="193"/>
      <c r="DQ28" s="193"/>
      <c r="DR28" s="193"/>
      <c r="DS28" s="193"/>
      <c r="DT28" s="193"/>
      <c r="DU28" s="193"/>
      <c r="DV28" s="193"/>
      <c r="DW28" s="193"/>
      <c r="DX28" s="193"/>
      <c r="DY28" s="193"/>
      <c r="DZ28" s="193"/>
      <c r="EA28" s="193"/>
      <c r="EB28" s="193"/>
      <c r="EC28" s="193"/>
      <c r="ED28" s="193"/>
      <c r="EE28" s="193"/>
      <c r="EF28" s="193"/>
      <c r="EG28" s="193"/>
      <c r="EH28" s="193"/>
      <c r="EI28" s="193"/>
      <c r="EJ28" s="193"/>
      <c r="EK28" s="193"/>
      <c r="EL28" s="193"/>
      <c r="EM28" s="193"/>
      <c r="EN28" s="193"/>
      <c r="EO28" s="193"/>
      <c r="EP28" s="193"/>
      <c r="EQ28" s="193"/>
      <c r="ER28" s="193"/>
      <c r="ES28" s="193"/>
      <c r="ET28" s="193"/>
      <c r="EV28" s="190" t="s">
        <v>82</v>
      </c>
    </row>
    <row r="29" spans="5:152" outlineLevel="1" x14ac:dyDescent="0.3">
      <c r="E29" t="s">
        <v>88</v>
      </c>
      <c r="G29" s="193">
        <f>IF(G27=0,0,G27)</f>
        <v>0</v>
      </c>
      <c r="H29" s="193">
        <f t="shared" ref="H29:BS29" si="29">IF(H27=0,0,H27)</f>
        <v>0</v>
      </c>
      <c r="I29" s="193">
        <f t="shared" si="29"/>
        <v>0</v>
      </c>
      <c r="J29" s="193">
        <f t="shared" si="29"/>
        <v>0</v>
      </c>
      <c r="K29" s="193">
        <f t="shared" si="29"/>
        <v>0</v>
      </c>
      <c r="L29" s="193">
        <f t="shared" si="29"/>
        <v>0</v>
      </c>
      <c r="M29" s="193">
        <f t="shared" si="29"/>
        <v>0</v>
      </c>
      <c r="N29" s="193">
        <f t="shared" si="29"/>
        <v>0</v>
      </c>
      <c r="O29" s="193">
        <f t="shared" si="29"/>
        <v>0</v>
      </c>
      <c r="P29" s="193">
        <f t="shared" si="29"/>
        <v>0</v>
      </c>
      <c r="Q29" s="193">
        <f t="shared" si="29"/>
        <v>0</v>
      </c>
      <c r="R29" s="193">
        <f t="shared" si="29"/>
        <v>0</v>
      </c>
      <c r="S29" s="193">
        <f t="shared" si="29"/>
        <v>0</v>
      </c>
      <c r="T29" s="193">
        <f t="shared" si="29"/>
        <v>0</v>
      </c>
      <c r="U29" s="193">
        <f t="shared" si="29"/>
        <v>0</v>
      </c>
      <c r="V29" s="193">
        <f t="shared" si="29"/>
        <v>0</v>
      </c>
      <c r="W29" s="193">
        <f t="shared" si="29"/>
        <v>0</v>
      </c>
      <c r="X29" s="193">
        <f t="shared" si="29"/>
        <v>0</v>
      </c>
      <c r="Y29" s="193">
        <f t="shared" si="29"/>
        <v>0</v>
      </c>
      <c r="Z29" s="193">
        <f t="shared" si="29"/>
        <v>0</v>
      </c>
      <c r="AA29" s="193">
        <f t="shared" si="29"/>
        <v>0</v>
      </c>
      <c r="AB29" s="193">
        <f t="shared" si="29"/>
        <v>0</v>
      </c>
      <c r="AC29" s="193">
        <f t="shared" si="29"/>
        <v>0</v>
      </c>
      <c r="AD29" s="193">
        <f t="shared" si="29"/>
        <v>0</v>
      </c>
      <c r="AE29" s="193">
        <f t="shared" si="29"/>
        <v>0</v>
      </c>
      <c r="AF29" s="193">
        <f t="shared" si="29"/>
        <v>0</v>
      </c>
      <c r="AG29" s="193">
        <f t="shared" si="29"/>
        <v>0</v>
      </c>
      <c r="AH29" s="193">
        <f t="shared" si="29"/>
        <v>0</v>
      </c>
      <c r="AI29" s="193">
        <f t="shared" si="29"/>
        <v>0</v>
      </c>
      <c r="AJ29" s="193">
        <f t="shared" si="29"/>
        <v>0</v>
      </c>
      <c r="AK29" s="193">
        <f t="shared" si="29"/>
        <v>0</v>
      </c>
      <c r="AL29" s="193">
        <f t="shared" si="29"/>
        <v>0</v>
      </c>
      <c r="AM29" s="193">
        <f t="shared" si="29"/>
        <v>0</v>
      </c>
      <c r="AN29" s="193">
        <f t="shared" si="29"/>
        <v>0</v>
      </c>
      <c r="AO29" s="193">
        <f t="shared" si="29"/>
        <v>0</v>
      </c>
      <c r="AP29" s="193">
        <f t="shared" si="29"/>
        <v>0</v>
      </c>
      <c r="AQ29" s="193">
        <f t="shared" si="29"/>
        <v>0</v>
      </c>
      <c r="AR29" s="193">
        <f t="shared" si="29"/>
        <v>0</v>
      </c>
      <c r="AS29" s="193">
        <f t="shared" si="29"/>
        <v>0</v>
      </c>
      <c r="AT29" s="193">
        <f t="shared" si="29"/>
        <v>0</v>
      </c>
      <c r="AU29" s="193">
        <f t="shared" si="29"/>
        <v>0</v>
      </c>
      <c r="AV29" s="193">
        <f t="shared" si="29"/>
        <v>0</v>
      </c>
      <c r="AW29" s="193">
        <f t="shared" si="29"/>
        <v>0</v>
      </c>
      <c r="AX29" s="193">
        <f t="shared" si="29"/>
        <v>0</v>
      </c>
      <c r="AY29" s="193">
        <f t="shared" si="29"/>
        <v>0</v>
      </c>
      <c r="AZ29" s="193">
        <f t="shared" si="29"/>
        <v>0</v>
      </c>
      <c r="BA29" s="193">
        <f t="shared" si="29"/>
        <v>0</v>
      </c>
      <c r="BB29" s="193">
        <f t="shared" si="29"/>
        <v>0</v>
      </c>
      <c r="BC29" s="193">
        <f t="shared" si="29"/>
        <v>0</v>
      </c>
      <c r="BD29" s="193">
        <f t="shared" si="29"/>
        <v>0</v>
      </c>
      <c r="BE29" s="193">
        <f t="shared" si="29"/>
        <v>0</v>
      </c>
      <c r="BF29" s="193">
        <f t="shared" si="29"/>
        <v>0</v>
      </c>
      <c r="BG29" s="193">
        <f t="shared" si="29"/>
        <v>0</v>
      </c>
      <c r="BH29" s="193">
        <f t="shared" si="29"/>
        <v>0</v>
      </c>
      <c r="BI29" s="193">
        <f t="shared" si="29"/>
        <v>0</v>
      </c>
      <c r="BJ29" s="193">
        <f t="shared" si="29"/>
        <v>0</v>
      </c>
      <c r="BK29" s="193">
        <f t="shared" si="29"/>
        <v>0</v>
      </c>
      <c r="BL29" s="193">
        <f t="shared" si="29"/>
        <v>0</v>
      </c>
      <c r="BM29" s="193">
        <f t="shared" si="29"/>
        <v>0</v>
      </c>
      <c r="BN29" s="193">
        <f t="shared" si="29"/>
        <v>0</v>
      </c>
      <c r="BO29" s="193">
        <f t="shared" si="29"/>
        <v>0</v>
      </c>
      <c r="BP29" s="193">
        <f t="shared" si="29"/>
        <v>0</v>
      </c>
      <c r="BQ29" s="193">
        <f t="shared" si="29"/>
        <v>0</v>
      </c>
      <c r="BR29" s="193">
        <f t="shared" si="29"/>
        <v>0</v>
      </c>
      <c r="BS29" s="193">
        <f t="shared" si="29"/>
        <v>0</v>
      </c>
      <c r="BT29" s="193">
        <f t="shared" ref="BT29:EE29" si="30">IF(BT27=0,0,BT27)</f>
        <v>0</v>
      </c>
      <c r="BU29" s="193">
        <f t="shared" si="30"/>
        <v>0</v>
      </c>
      <c r="BV29" s="193">
        <f t="shared" si="30"/>
        <v>0</v>
      </c>
      <c r="BW29" s="193">
        <f t="shared" si="30"/>
        <v>0</v>
      </c>
      <c r="BX29" s="193">
        <f t="shared" si="30"/>
        <v>0</v>
      </c>
      <c r="BY29" s="193">
        <f t="shared" si="30"/>
        <v>0</v>
      </c>
      <c r="BZ29" s="193">
        <f t="shared" si="30"/>
        <v>0</v>
      </c>
      <c r="CA29" s="193">
        <f t="shared" si="30"/>
        <v>0</v>
      </c>
      <c r="CB29" s="193">
        <f t="shared" si="30"/>
        <v>0</v>
      </c>
      <c r="CC29" s="193">
        <f t="shared" si="30"/>
        <v>0</v>
      </c>
      <c r="CD29" s="193">
        <f t="shared" si="30"/>
        <v>0</v>
      </c>
      <c r="CE29" s="193">
        <f t="shared" si="30"/>
        <v>0</v>
      </c>
      <c r="CF29" s="193">
        <f t="shared" si="30"/>
        <v>0</v>
      </c>
      <c r="CG29" s="193">
        <f t="shared" si="30"/>
        <v>0</v>
      </c>
      <c r="CH29" s="193">
        <f t="shared" si="30"/>
        <v>0</v>
      </c>
      <c r="CI29" s="193">
        <f t="shared" si="30"/>
        <v>0</v>
      </c>
      <c r="CJ29" s="193">
        <f t="shared" si="30"/>
        <v>0</v>
      </c>
      <c r="CK29" s="193">
        <f t="shared" si="30"/>
        <v>0</v>
      </c>
      <c r="CL29" s="193">
        <f t="shared" si="30"/>
        <v>0</v>
      </c>
      <c r="CM29" s="193">
        <f t="shared" si="30"/>
        <v>0</v>
      </c>
      <c r="CN29" s="193">
        <f t="shared" si="30"/>
        <v>0</v>
      </c>
      <c r="CO29" s="193">
        <f t="shared" si="30"/>
        <v>0</v>
      </c>
      <c r="CP29" s="193">
        <f t="shared" si="30"/>
        <v>0</v>
      </c>
      <c r="CQ29" s="193">
        <f t="shared" si="30"/>
        <v>0</v>
      </c>
      <c r="CR29" s="193">
        <f t="shared" si="30"/>
        <v>0</v>
      </c>
      <c r="CS29" s="193">
        <f t="shared" si="30"/>
        <v>0</v>
      </c>
      <c r="CT29" s="193">
        <f t="shared" si="30"/>
        <v>0</v>
      </c>
      <c r="CU29" s="193">
        <f t="shared" si="30"/>
        <v>0</v>
      </c>
      <c r="CV29" s="193">
        <f t="shared" si="30"/>
        <v>0</v>
      </c>
      <c r="CW29" s="193">
        <f t="shared" si="30"/>
        <v>0</v>
      </c>
      <c r="CX29" s="193">
        <f t="shared" si="30"/>
        <v>0</v>
      </c>
      <c r="CY29" s="193">
        <f t="shared" si="30"/>
        <v>0</v>
      </c>
      <c r="CZ29" s="193">
        <f t="shared" si="30"/>
        <v>0</v>
      </c>
      <c r="DA29" s="193">
        <f t="shared" si="30"/>
        <v>0</v>
      </c>
      <c r="DB29" s="193">
        <f t="shared" si="30"/>
        <v>0</v>
      </c>
      <c r="DC29" s="193">
        <f t="shared" si="30"/>
        <v>0</v>
      </c>
      <c r="DD29" s="193">
        <f t="shared" si="30"/>
        <v>0</v>
      </c>
      <c r="DE29" s="193">
        <f t="shared" si="30"/>
        <v>0</v>
      </c>
      <c r="DF29" s="193">
        <f t="shared" si="30"/>
        <v>0</v>
      </c>
      <c r="DG29" s="193">
        <f t="shared" si="30"/>
        <v>0</v>
      </c>
      <c r="DH29" s="193">
        <f t="shared" si="30"/>
        <v>0</v>
      </c>
      <c r="DI29" s="193">
        <f t="shared" si="30"/>
        <v>0</v>
      </c>
      <c r="DJ29" s="193">
        <f t="shared" si="30"/>
        <v>0</v>
      </c>
      <c r="DK29" s="193">
        <f t="shared" si="30"/>
        <v>0</v>
      </c>
      <c r="DL29" s="193">
        <f t="shared" si="30"/>
        <v>0</v>
      </c>
      <c r="DM29" s="193">
        <f t="shared" si="30"/>
        <v>0</v>
      </c>
      <c r="DN29" s="193">
        <f t="shared" si="30"/>
        <v>0</v>
      </c>
      <c r="DO29" s="193">
        <f t="shared" si="30"/>
        <v>0</v>
      </c>
      <c r="DP29" s="193">
        <f t="shared" si="30"/>
        <v>0</v>
      </c>
      <c r="DQ29" s="193">
        <f t="shared" si="30"/>
        <v>0</v>
      </c>
      <c r="DR29" s="193">
        <f t="shared" si="30"/>
        <v>0</v>
      </c>
      <c r="DS29" s="193">
        <f t="shared" si="30"/>
        <v>0</v>
      </c>
      <c r="DT29" s="193">
        <f t="shared" si="30"/>
        <v>0</v>
      </c>
      <c r="DU29" s="193">
        <f t="shared" si="30"/>
        <v>0</v>
      </c>
      <c r="DV29" s="193">
        <f t="shared" si="30"/>
        <v>0</v>
      </c>
      <c r="DW29" s="193">
        <f t="shared" si="30"/>
        <v>0</v>
      </c>
      <c r="DX29" s="193">
        <f t="shared" si="30"/>
        <v>0</v>
      </c>
      <c r="DY29" s="193">
        <f t="shared" si="30"/>
        <v>0</v>
      </c>
      <c r="DZ29" s="193">
        <f t="shared" si="30"/>
        <v>0</v>
      </c>
      <c r="EA29" s="193">
        <f t="shared" si="30"/>
        <v>0</v>
      </c>
      <c r="EB29" s="193">
        <f t="shared" si="30"/>
        <v>0</v>
      </c>
      <c r="EC29" s="193">
        <f t="shared" si="30"/>
        <v>0</v>
      </c>
      <c r="ED29" s="193">
        <f t="shared" si="30"/>
        <v>0</v>
      </c>
      <c r="EE29" s="193">
        <f t="shared" si="30"/>
        <v>0</v>
      </c>
      <c r="EF29" s="193">
        <f t="shared" ref="EF29:ET29" si="31">IF(EF27=0,0,EF27)</f>
        <v>0</v>
      </c>
      <c r="EG29" s="193">
        <f t="shared" si="31"/>
        <v>0</v>
      </c>
      <c r="EH29" s="193">
        <f t="shared" si="31"/>
        <v>0</v>
      </c>
      <c r="EI29" s="193">
        <f t="shared" si="31"/>
        <v>0</v>
      </c>
      <c r="EJ29" s="193">
        <f t="shared" si="31"/>
        <v>0</v>
      </c>
      <c r="EK29" s="193">
        <f t="shared" si="31"/>
        <v>0</v>
      </c>
      <c r="EL29" s="193">
        <f t="shared" si="31"/>
        <v>0</v>
      </c>
      <c r="EM29" s="193">
        <f t="shared" si="31"/>
        <v>0</v>
      </c>
      <c r="EN29" s="193">
        <f t="shared" si="31"/>
        <v>0</v>
      </c>
      <c r="EO29" s="193">
        <f t="shared" si="31"/>
        <v>0</v>
      </c>
      <c r="EP29" s="193">
        <f t="shared" si="31"/>
        <v>0</v>
      </c>
      <c r="EQ29" s="193">
        <f t="shared" si="31"/>
        <v>0</v>
      </c>
      <c r="ER29" s="193">
        <f t="shared" si="31"/>
        <v>0</v>
      </c>
      <c r="ES29" s="193">
        <f t="shared" si="31"/>
        <v>0</v>
      </c>
      <c r="ET29" s="193">
        <f t="shared" si="31"/>
        <v>0</v>
      </c>
      <c r="EV29" s="190" t="s">
        <v>82</v>
      </c>
    </row>
    <row r="30" spans="5:152" outlineLevel="1" x14ac:dyDescent="0.3">
      <c r="EV30" s="190" t="s">
        <v>82</v>
      </c>
    </row>
    <row r="31" spans="5:152" outlineLevel="1" x14ac:dyDescent="0.3">
      <c r="E31" s="37" t="s">
        <v>89</v>
      </c>
      <c r="G31" s="193"/>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c r="AM31" s="193"/>
      <c r="AN31" s="193"/>
      <c r="AO31" s="193"/>
      <c r="AP31" s="193"/>
      <c r="AQ31" s="193"/>
      <c r="AR31" s="193"/>
      <c r="AS31" s="193"/>
      <c r="AT31" s="193"/>
      <c r="AU31" s="193"/>
      <c r="AV31" s="193"/>
      <c r="AW31" s="193"/>
      <c r="AX31" s="193"/>
      <c r="AY31" s="193"/>
      <c r="AZ31" s="193"/>
      <c r="BA31" s="193"/>
      <c r="BB31" s="193"/>
      <c r="BC31" s="193"/>
      <c r="BD31" s="193"/>
      <c r="BE31" s="193"/>
      <c r="BF31" s="193"/>
      <c r="BG31" s="193"/>
      <c r="BH31" s="193"/>
      <c r="BI31" s="193"/>
      <c r="BJ31" s="193"/>
      <c r="BK31" s="193"/>
      <c r="BL31" s="193"/>
      <c r="BM31" s="193"/>
      <c r="BN31" s="193"/>
      <c r="BO31" s="193"/>
      <c r="BP31" s="193"/>
      <c r="BQ31" s="193"/>
      <c r="BR31" s="193"/>
      <c r="BS31" s="193"/>
      <c r="BT31" s="193"/>
      <c r="BU31" s="193"/>
      <c r="BV31" s="193"/>
      <c r="BW31" s="193"/>
      <c r="BX31" s="193"/>
      <c r="BY31" s="193"/>
      <c r="BZ31" s="193"/>
      <c r="CA31" s="193"/>
      <c r="CB31" s="193"/>
      <c r="CC31" s="193"/>
      <c r="CD31" s="193"/>
      <c r="CE31" s="193"/>
      <c r="CF31" s="193"/>
      <c r="CG31" s="193"/>
      <c r="CH31" s="193"/>
      <c r="CI31" s="193"/>
      <c r="CJ31" s="193"/>
      <c r="CK31" s="193"/>
      <c r="CL31" s="193"/>
      <c r="CM31" s="193"/>
      <c r="CN31" s="193"/>
      <c r="CO31" s="193"/>
      <c r="CP31" s="193"/>
      <c r="CQ31" s="193"/>
      <c r="CR31" s="193"/>
      <c r="CS31" s="193"/>
      <c r="CT31" s="193"/>
      <c r="CU31" s="193"/>
      <c r="CV31" s="193"/>
      <c r="CW31" s="193"/>
      <c r="CX31" s="193"/>
      <c r="CY31" s="193"/>
      <c r="CZ31" s="193"/>
      <c r="DA31" s="193"/>
      <c r="DB31" s="193"/>
      <c r="DC31" s="193"/>
      <c r="DD31" s="193"/>
      <c r="DE31" s="193"/>
      <c r="DF31" s="193"/>
      <c r="DG31" s="193"/>
      <c r="DH31" s="193"/>
      <c r="DI31" s="193"/>
      <c r="DJ31" s="193"/>
      <c r="DK31" s="193"/>
      <c r="DL31" s="193"/>
      <c r="DM31" s="193"/>
      <c r="DN31" s="193"/>
      <c r="DO31" s="193"/>
      <c r="DP31" s="193"/>
      <c r="DQ31" s="193"/>
      <c r="DR31" s="193"/>
      <c r="DS31" s="193"/>
      <c r="DT31" s="193"/>
      <c r="DU31" s="193"/>
      <c r="DV31" s="193"/>
      <c r="DW31" s="193"/>
      <c r="DX31" s="193"/>
      <c r="DY31" s="193"/>
      <c r="DZ31" s="193"/>
      <c r="EA31" s="193"/>
      <c r="EB31" s="193"/>
      <c r="EC31" s="193"/>
      <c r="ED31" s="193"/>
      <c r="EE31" s="193"/>
      <c r="EF31" s="193"/>
      <c r="EG31" s="193"/>
      <c r="EH31" s="193"/>
      <c r="EI31" s="193"/>
      <c r="EJ31" s="193"/>
      <c r="EK31" s="193"/>
      <c r="EL31" s="193"/>
      <c r="EM31" s="193"/>
      <c r="EN31" s="193"/>
      <c r="EO31" s="193"/>
      <c r="EP31" s="193"/>
      <c r="EQ31" s="193"/>
      <c r="ER31" s="193"/>
      <c r="ES31" s="193"/>
      <c r="ET31" s="193"/>
      <c r="EV31" s="190" t="s">
        <v>82</v>
      </c>
    </row>
    <row r="32" spans="5:152" outlineLevel="1" x14ac:dyDescent="0.3">
      <c r="E32" t="str">
        <f>$E$5</f>
        <v>Capital Partner</v>
      </c>
      <c r="G32" s="193">
        <f>+G73</f>
        <v>0</v>
      </c>
      <c r="H32" s="193">
        <f t="shared" ref="H32:BS32" si="32">+H73</f>
        <v>0</v>
      </c>
      <c r="I32" s="193">
        <f t="shared" si="32"/>
        <v>0</v>
      </c>
      <c r="J32" s="193">
        <f t="shared" si="32"/>
        <v>0</v>
      </c>
      <c r="K32" s="193">
        <f t="shared" si="32"/>
        <v>0</v>
      </c>
      <c r="L32" s="193">
        <f t="shared" si="32"/>
        <v>0</v>
      </c>
      <c r="M32" s="193">
        <f t="shared" si="32"/>
        <v>0</v>
      </c>
      <c r="N32" s="193">
        <f t="shared" si="32"/>
        <v>0</v>
      </c>
      <c r="O32" s="193">
        <f t="shared" si="32"/>
        <v>0</v>
      </c>
      <c r="P32" s="193">
        <f t="shared" si="32"/>
        <v>0</v>
      </c>
      <c r="Q32" s="193">
        <f t="shared" si="32"/>
        <v>0</v>
      </c>
      <c r="R32" s="193">
        <f t="shared" si="32"/>
        <v>0</v>
      </c>
      <c r="S32" s="193">
        <f t="shared" si="32"/>
        <v>0</v>
      </c>
      <c r="T32" s="193">
        <f t="shared" si="32"/>
        <v>0</v>
      </c>
      <c r="U32" s="193">
        <f t="shared" si="32"/>
        <v>0</v>
      </c>
      <c r="V32" s="193">
        <f t="shared" si="32"/>
        <v>0</v>
      </c>
      <c r="W32" s="193">
        <f t="shared" si="32"/>
        <v>0</v>
      </c>
      <c r="X32" s="193">
        <f t="shared" si="32"/>
        <v>0</v>
      </c>
      <c r="Y32" s="193">
        <f t="shared" si="32"/>
        <v>0</v>
      </c>
      <c r="Z32" s="193">
        <f t="shared" si="32"/>
        <v>0</v>
      </c>
      <c r="AA32" s="193">
        <f t="shared" si="32"/>
        <v>0</v>
      </c>
      <c r="AB32" s="193">
        <f t="shared" si="32"/>
        <v>0</v>
      </c>
      <c r="AC32" s="193">
        <f t="shared" si="32"/>
        <v>0</v>
      </c>
      <c r="AD32" s="193">
        <f t="shared" si="32"/>
        <v>0</v>
      </c>
      <c r="AE32" s="193">
        <f t="shared" si="32"/>
        <v>0</v>
      </c>
      <c r="AF32" s="193">
        <f t="shared" si="32"/>
        <v>0</v>
      </c>
      <c r="AG32" s="193">
        <f t="shared" si="32"/>
        <v>0</v>
      </c>
      <c r="AH32" s="193">
        <f t="shared" si="32"/>
        <v>0</v>
      </c>
      <c r="AI32" s="193">
        <f t="shared" si="32"/>
        <v>0</v>
      </c>
      <c r="AJ32" s="193">
        <f t="shared" si="32"/>
        <v>0</v>
      </c>
      <c r="AK32" s="193">
        <f t="shared" si="32"/>
        <v>0</v>
      </c>
      <c r="AL32" s="193">
        <f t="shared" si="32"/>
        <v>0</v>
      </c>
      <c r="AM32" s="193">
        <f t="shared" si="32"/>
        <v>0</v>
      </c>
      <c r="AN32" s="193">
        <f t="shared" si="32"/>
        <v>0</v>
      </c>
      <c r="AO32" s="193">
        <f t="shared" si="32"/>
        <v>0</v>
      </c>
      <c r="AP32" s="193">
        <f t="shared" si="32"/>
        <v>0</v>
      </c>
      <c r="AQ32" s="193">
        <f t="shared" si="32"/>
        <v>0</v>
      </c>
      <c r="AR32" s="193">
        <f t="shared" si="32"/>
        <v>0</v>
      </c>
      <c r="AS32" s="193">
        <f t="shared" si="32"/>
        <v>0</v>
      </c>
      <c r="AT32" s="193">
        <f t="shared" si="32"/>
        <v>0</v>
      </c>
      <c r="AU32" s="193">
        <f t="shared" si="32"/>
        <v>0</v>
      </c>
      <c r="AV32" s="193">
        <f t="shared" si="32"/>
        <v>0</v>
      </c>
      <c r="AW32" s="193">
        <f t="shared" si="32"/>
        <v>0</v>
      </c>
      <c r="AX32" s="193">
        <f t="shared" si="32"/>
        <v>0</v>
      </c>
      <c r="AY32" s="193">
        <f t="shared" si="32"/>
        <v>0</v>
      </c>
      <c r="AZ32" s="193">
        <f t="shared" si="32"/>
        <v>0</v>
      </c>
      <c r="BA32" s="193">
        <f t="shared" si="32"/>
        <v>0</v>
      </c>
      <c r="BB32" s="193">
        <f t="shared" si="32"/>
        <v>0</v>
      </c>
      <c r="BC32" s="193">
        <f t="shared" si="32"/>
        <v>0</v>
      </c>
      <c r="BD32" s="193">
        <f t="shared" si="32"/>
        <v>0</v>
      </c>
      <c r="BE32" s="193">
        <f t="shared" si="32"/>
        <v>0</v>
      </c>
      <c r="BF32" s="193">
        <f t="shared" si="32"/>
        <v>0</v>
      </c>
      <c r="BG32" s="193">
        <f t="shared" si="32"/>
        <v>0</v>
      </c>
      <c r="BH32" s="193">
        <f t="shared" si="32"/>
        <v>0</v>
      </c>
      <c r="BI32" s="193">
        <f t="shared" si="32"/>
        <v>0</v>
      </c>
      <c r="BJ32" s="193">
        <f t="shared" si="32"/>
        <v>0</v>
      </c>
      <c r="BK32" s="193">
        <f t="shared" si="32"/>
        <v>0</v>
      </c>
      <c r="BL32" s="193">
        <f t="shared" si="32"/>
        <v>0</v>
      </c>
      <c r="BM32" s="193">
        <f t="shared" si="32"/>
        <v>0</v>
      </c>
      <c r="BN32" s="193">
        <f t="shared" si="32"/>
        <v>0</v>
      </c>
      <c r="BO32" s="193">
        <f t="shared" si="32"/>
        <v>0</v>
      </c>
      <c r="BP32" s="193">
        <f t="shared" si="32"/>
        <v>0</v>
      </c>
      <c r="BQ32" s="193">
        <f t="shared" si="32"/>
        <v>0</v>
      </c>
      <c r="BR32" s="193">
        <f t="shared" si="32"/>
        <v>0</v>
      </c>
      <c r="BS32" s="193">
        <f t="shared" si="32"/>
        <v>0</v>
      </c>
      <c r="BT32" s="193">
        <f t="shared" ref="BT32:EE32" si="33">+BT73</f>
        <v>0</v>
      </c>
      <c r="BU32" s="193">
        <f t="shared" si="33"/>
        <v>0</v>
      </c>
      <c r="BV32" s="193">
        <f t="shared" si="33"/>
        <v>0</v>
      </c>
      <c r="BW32" s="193">
        <f t="shared" si="33"/>
        <v>0</v>
      </c>
      <c r="BX32" s="193">
        <f t="shared" si="33"/>
        <v>0</v>
      </c>
      <c r="BY32" s="193">
        <f t="shared" si="33"/>
        <v>0</v>
      </c>
      <c r="BZ32" s="193">
        <f t="shared" si="33"/>
        <v>0</v>
      </c>
      <c r="CA32" s="193">
        <f t="shared" si="33"/>
        <v>0</v>
      </c>
      <c r="CB32" s="193">
        <f t="shared" si="33"/>
        <v>0</v>
      </c>
      <c r="CC32" s="193">
        <f t="shared" si="33"/>
        <v>0</v>
      </c>
      <c r="CD32" s="193">
        <f t="shared" si="33"/>
        <v>0</v>
      </c>
      <c r="CE32" s="193">
        <f t="shared" si="33"/>
        <v>0</v>
      </c>
      <c r="CF32" s="193">
        <f t="shared" si="33"/>
        <v>0</v>
      </c>
      <c r="CG32" s="193">
        <f t="shared" si="33"/>
        <v>0</v>
      </c>
      <c r="CH32" s="193">
        <f t="shared" si="33"/>
        <v>0</v>
      </c>
      <c r="CI32" s="193">
        <f t="shared" si="33"/>
        <v>0</v>
      </c>
      <c r="CJ32" s="193">
        <f t="shared" si="33"/>
        <v>0</v>
      </c>
      <c r="CK32" s="193">
        <f t="shared" si="33"/>
        <v>0</v>
      </c>
      <c r="CL32" s="193">
        <f t="shared" si="33"/>
        <v>0</v>
      </c>
      <c r="CM32" s="193">
        <f t="shared" si="33"/>
        <v>0</v>
      </c>
      <c r="CN32" s="193">
        <f t="shared" si="33"/>
        <v>0</v>
      </c>
      <c r="CO32" s="193">
        <f t="shared" si="33"/>
        <v>0</v>
      </c>
      <c r="CP32" s="193">
        <f t="shared" si="33"/>
        <v>0</v>
      </c>
      <c r="CQ32" s="193">
        <f t="shared" si="33"/>
        <v>0</v>
      </c>
      <c r="CR32" s="193">
        <f t="shared" si="33"/>
        <v>0</v>
      </c>
      <c r="CS32" s="193">
        <f t="shared" si="33"/>
        <v>0</v>
      </c>
      <c r="CT32" s="193">
        <f t="shared" si="33"/>
        <v>0</v>
      </c>
      <c r="CU32" s="193">
        <f t="shared" si="33"/>
        <v>0</v>
      </c>
      <c r="CV32" s="193">
        <f t="shared" si="33"/>
        <v>0</v>
      </c>
      <c r="CW32" s="193">
        <f t="shared" si="33"/>
        <v>0</v>
      </c>
      <c r="CX32" s="193">
        <f t="shared" si="33"/>
        <v>0</v>
      </c>
      <c r="CY32" s="193">
        <f t="shared" si="33"/>
        <v>0</v>
      </c>
      <c r="CZ32" s="193">
        <f t="shared" si="33"/>
        <v>0</v>
      </c>
      <c r="DA32" s="193">
        <f t="shared" si="33"/>
        <v>0</v>
      </c>
      <c r="DB32" s="193">
        <f t="shared" si="33"/>
        <v>0</v>
      </c>
      <c r="DC32" s="193">
        <f t="shared" si="33"/>
        <v>0</v>
      </c>
      <c r="DD32" s="193">
        <f t="shared" si="33"/>
        <v>0</v>
      </c>
      <c r="DE32" s="193">
        <f t="shared" si="33"/>
        <v>0</v>
      </c>
      <c r="DF32" s="193">
        <f t="shared" si="33"/>
        <v>0</v>
      </c>
      <c r="DG32" s="193">
        <f t="shared" si="33"/>
        <v>0</v>
      </c>
      <c r="DH32" s="193">
        <f t="shared" si="33"/>
        <v>0</v>
      </c>
      <c r="DI32" s="193">
        <f t="shared" si="33"/>
        <v>0</v>
      </c>
      <c r="DJ32" s="193">
        <f t="shared" si="33"/>
        <v>0</v>
      </c>
      <c r="DK32" s="193">
        <f t="shared" si="33"/>
        <v>0</v>
      </c>
      <c r="DL32" s="193">
        <f t="shared" si="33"/>
        <v>0</v>
      </c>
      <c r="DM32" s="193">
        <f t="shared" si="33"/>
        <v>0</v>
      </c>
      <c r="DN32" s="193">
        <f t="shared" si="33"/>
        <v>0</v>
      </c>
      <c r="DO32" s="193">
        <f t="shared" si="33"/>
        <v>0</v>
      </c>
      <c r="DP32" s="193">
        <f t="shared" si="33"/>
        <v>0</v>
      </c>
      <c r="DQ32" s="193">
        <f t="shared" si="33"/>
        <v>0</v>
      </c>
      <c r="DR32" s="193">
        <f t="shared" si="33"/>
        <v>0</v>
      </c>
      <c r="DS32" s="193">
        <f t="shared" si="33"/>
        <v>0</v>
      </c>
      <c r="DT32" s="193">
        <f t="shared" si="33"/>
        <v>0</v>
      </c>
      <c r="DU32" s="193">
        <f t="shared" si="33"/>
        <v>0</v>
      </c>
      <c r="DV32" s="193">
        <f t="shared" si="33"/>
        <v>0</v>
      </c>
      <c r="DW32" s="193">
        <f t="shared" si="33"/>
        <v>0</v>
      </c>
      <c r="DX32" s="193">
        <f t="shared" si="33"/>
        <v>0</v>
      </c>
      <c r="DY32" s="193">
        <f t="shared" si="33"/>
        <v>0</v>
      </c>
      <c r="DZ32" s="193">
        <f t="shared" si="33"/>
        <v>0</v>
      </c>
      <c r="EA32" s="193">
        <f t="shared" si="33"/>
        <v>0</v>
      </c>
      <c r="EB32" s="193">
        <f t="shared" si="33"/>
        <v>0</v>
      </c>
      <c r="EC32" s="193">
        <f t="shared" si="33"/>
        <v>0</v>
      </c>
      <c r="ED32" s="193">
        <f t="shared" si="33"/>
        <v>0</v>
      </c>
      <c r="EE32" s="193">
        <f t="shared" si="33"/>
        <v>0</v>
      </c>
      <c r="EF32" s="193">
        <f t="shared" ref="EF32:ET32" si="34">+EF73</f>
        <v>0</v>
      </c>
      <c r="EG32" s="193">
        <f t="shared" si="34"/>
        <v>0</v>
      </c>
      <c r="EH32" s="193">
        <f t="shared" si="34"/>
        <v>0</v>
      </c>
      <c r="EI32" s="193">
        <f t="shared" si="34"/>
        <v>0</v>
      </c>
      <c r="EJ32" s="193">
        <f t="shared" si="34"/>
        <v>0</v>
      </c>
      <c r="EK32" s="193">
        <f t="shared" si="34"/>
        <v>0</v>
      </c>
      <c r="EL32" s="193">
        <f t="shared" si="34"/>
        <v>0</v>
      </c>
      <c r="EM32" s="193">
        <f t="shared" si="34"/>
        <v>0</v>
      </c>
      <c r="EN32" s="193">
        <f t="shared" si="34"/>
        <v>0</v>
      </c>
      <c r="EO32" s="193">
        <f t="shared" si="34"/>
        <v>0</v>
      </c>
      <c r="EP32" s="193">
        <f t="shared" si="34"/>
        <v>0</v>
      </c>
      <c r="EQ32" s="193">
        <f t="shared" si="34"/>
        <v>0</v>
      </c>
      <c r="ER32" s="193">
        <f t="shared" si="34"/>
        <v>0</v>
      </c>
      <c r="ES32" s="193">
        <f t="shared" si="34"/>
        <v>0</v>
      </c>
      <c r="ET32" s="193">
        <f t="shared" si="34"/>
        <v>0</v>
      </c>
      <c r="EV32" s="190" t="s">
        <v>82</v>
      </c>
    </row>
    <row r="33" spans="5:152" outlineLevel="1" x14ac:dyDescent="0.3">
      <c r="E33" t="str">
        <f>$E$4</f>
        <v>Sponsor</v>
      </c>
      <c r="G33" s="193">
        <f t="shared" ref="G33:AL33" si="35">G32/$H5*$H$4</f>
        <v>0</v>
      </c>
      <c r="H33" s="193">
        <f t="shared" si="35"/>
        <v>0</v>
      </c>
      <c r="I33" s="193">
        <f t="shared" si="35"/>
        <v>0</v>
      </c>
      <c r="J33" s="193">
        <f t="shared" si="35"/>
        <v>0</v>
      </c>
      <c r="K33" s="193">
        <f t="shared" si="35"/>
        <v>0</v>
      </c>
      <c r="L33" s="193">
        <f t="shared" si="35"/>
        <v>0</v>
      </c>
      <c r="M33" s="193">
        <f t="shared" si="35"/>
        <v>0</v>
      </c>
      <c r="N33" s="193">
        <f t="shared" si="35"/>
        <v>0</v>
      </c>
      <c r="O33" s="193">
        <f t="shared" si="35"/>
        <v>0</v>
      </c>
      <c r="P33" s="193">
        <f t="shared" si="35"/>
        <v>0</v>
      </c>
      <c r="Q33" s="193">
        <f t="shared" si="35"/>
        <v>0</v>
      </c>
      <c r="R33" s="193">
        <f t="shared" si="35"/>
        <v>0</v>
      </c>
      <c r="S33" s="193">
        <f t="shared" si="35"/>
        <v>0</v>
      </c>
      <c r="T33" s="193">
        <f t="shared" si="35"/>
        <v>0</v>
      </c>
      <c r="U33" s="193">
        <f t="shared" si="35"/>
        <v>0</v>
      </c>
      <c r="V33" s="193">
        <f t="shared" si="35"/>
        <v>0</v>
      </c>
      <c r="W33" s="193">
        <f t="shared" si="35"/>
        <v>0</v>
      </c>
      <c r="X33" s="193">
        <f t="shared" si="35"/>
        <v>0</v>
      </c>
      <c r="Y33" s="193">
        <f t="shared" si="35"/>
        <v>0</v>
      </c>
      <c r="Z33" s="193">
        <f t="shared" si="35"/>
        <v>0</v>
      </c>
      <c r="AA33" s="193">
        <f t="shared" si="35"/>
        <v>0</v>
      </c>
      <c r="AB33" s="193">
        <f t="shared" si="35"/>
        <v>0</v>
      </c>
      <c r="AC33" s="193">
        <f t="shared" si="35"/>
        <v>0</v>
      </c>
      <c r="AD33" s="193">
        <f t="shared" si="35"/>
        <v>0</v>
      </c>
      <c r="AE33" s="193">
        <f t="shared" si="35"/>
        <v>0</v>
      </c>
      <c r="AF33" s="193">
        <f t="shared" si="35"/>
        <v>0</v>
      </c>
      <c r="AG33" s="193">
        <f t="shared" si="35"/>
        <v>0</v>
      </c>
      <c r="AH33" s="193">
        <f t="shared" si="35"/>
        <v>0</v>
      </c>
      <c r="AI33" s="193">
        <f t="shared" si="35"/>
        <v>0</v>
      </c>
      <c r="AJ33" s="193">
        <f t="shared" si="35"/>
        <v>0</v>
      </c>
      <c r="AK33" s="193">
        <f t="shared" si="35"/>
        <v>0</v>
      </c>
      <c r="AL33" s="193">
        <f t="shared" si="35"/>
        <v>0</v>
      </c>
      <c r="AM33" s="193">
        <f t="shared" ref="AM33:BR33" si="36">AM32/$H5*$H$4</f>
        <v>0</v>
      </c>
      <c r="AN33" s="193">
        <f t="shared" si="36"/>
        <v>0</v>
      </c>
      <c r="AO33" s="193">
        <f t="shared" si="36"/>
        <v>0</v>
      </c>
      <c r="AP33" s="193">
        <f t="shared" si="36"/>
        <v>0</v>
      </c>
      <c r="AQ33" s="193">
        <f t="shared" si="36"/>
        <v>0</v>
      </c>
      <c r="AR33" s="193">
        <f t="shared" si="36"/>
        <v>0</v>
      </c>
      <c r="AS33" s="193">
        <f t="shared" si="36"/>
        <v>0</v>
      </c>
      <c r="AT33" s="193">
        <f t="shared" si="36"/>
        <v>0</v>
      </c>
      <c r="AU33" s="193">
        <f t="shared" si="36"/>
        <v>0</v>
      </c>
      <c r="AV33" s="193">
        <f t="shared" si="36"/>
        <v>0</v>
      </c>
      <c r="AW33" s="193">
        <f t="shared" si="36"/>
        <v>0</v>
      </c>
      <c r="AX33" s="193">
        <f t="shared" si="36"/>
        <v>0</v>
      </c>
      <c r="AY33" s="193">
        <f t="shared" si="36"/>
        <v>0</v>
      </c>
      <c r="AZ33" s="193">
        <f t="shared" si="36"/>
        <v>0</v>
      </c>
      <c r="BA33" s="193">
        <f t="shared" si="36"/>
        <v>0</v>
      </c>
      <c r="BB33" s="193">
        <f t="shared" si="36"/>
        <v>0</v>
      </c>
      <c r="BC33" s="193">
        <f t="shared" si="36"/>
        <v>0</v>
      </c>
      <c r="BD33" s="193">
        <f t="shared" si="36"/>
        <v>0</v>
      </c>
      <c r="BE33" s="193">
        <f t="shared" si="36"/>
        <v>0</v>
      </c>
      <c r="BF33" s="193">
        <f t="shared" si="36"/>
        <v>0</v>
      </c>
      <c r="BG33" s="193">
        <f t="shared" si="36"/>
        <v>0</v>
      </c>
      <c r="BH33" s="193">
        <f t="shared" si="36"/>
        <v>0</v>
      </c>
      <c r="BI33" s="193">
        <f t="shared" si="36"/>
        <v>0</v>
      </c>
      <c r="BJ33" s="193">
        <f t="shared" si="36"/>
        <v>0</v>
      </c>
      <c r="BK33" s="193">
        <f t="shared" si="36"/>
        <v>0</v>
      </c>
      <c r="BL33" s="193">
        <f t="shared" si="36"/>
        <v>0</v>
      </c>
      <c r="BM33" s="193">
        <f t="shared" si="36"/>
        <v>0</v>
      </c>
      <c r="BN33" s="193">
        <f t="shared" si="36"/>
        <v>0</v>
      </c>
      <c r="BO33" s="193">
        <f t="shared" si="36"/>
        <v>0</v>
      </c>
      <c r="BP33" s="193">
        <f t="shared" si="36"/>
        <v>0</v>
      </c>
      <c r="BQ33" s="193">
        <f t="shared" si="36"/>
        <v>0</v>
      </c>
      <c r="BR33" s="193">
        <f t="shared" si="36"/>
        <v>0</v>
      </c>
      <c r="BS33" s="193">
        <f t="shared" ref="BS33:CX33" si="37">BS32/$H5*$H$4</f>
        <v>0</v>
      </c>
      <c r="BT33" s="193">
        <f t="shared" si="37"/>
        <v>0</v>
      </c>
      <c r="BU33" s="193">
        <f t="shared" si="37"/>
        <v>0</v>
      </c>
      <c r="BV33" s="193">
        <f t="shared" si="37"/>
        <v>0</v>
      </c>
      <c r="BW33" s="193">
        <f t="shared" si="37"/>
        <v>0</v>
      </c>
      <c r="BX33" s="193">
        <f t="shared" si="37"/>
        <v>0</v>
      </c>
      <c r="BY33" s="193">
        <f t="shared" si="37"/>
        <v>0</v>
      </c>
      <c r="BZ33" s="193">
        <f t="shared" si="37"/>
        <v>0</v>
      </c>
      <c r="CA33" s="193">
        <f t="shared" si="37"/>
        <v>0</v>
      </c>
      <c r="CB33" s="193">
        <f t="shared" si="37"/>
        <v>0</v>
      </c>
      <c r="CC33" s="193">
        <f t="shared" si="37"/>
        <v>0</v>
      </c>
      <c r="CD33" s="193">
        <f t="shared" si="37"/>
        <v>0</v>
      </c>
      <c r="CE33" s="193">
        <f t="shared" si="37"/>
        <v>0</v>
      </c>
      <c r="CF33" s="193">
        <f t="shared" si="37"/>
        <v>0</v>
      </c>
      <c r="CG33" s="193">
        <f t="shared" si="37"/>
        <v>0</v>
      </c>
      <c r="CH33" s="193">
        <f t="shared" si="37"/>
        <v>0</v>
      </c>
      <c r="CI33" s="193">
        <f t="shared" si="37"/>
        <v>0</v>
      </c>
      <c r="CJ33" s="193">
        <f t="shared" si="37"/>
        <v>0</v>
      </c>
      <c r="CK33" s="193">
        <f t="shared" si="37"/>
        <v>0</v>
      </c>
      <c r="CL33" s="193">
        <f t="shared" si="37"/>
        <v>0</v>
      </c>
      <c r="CM33" s="193">
        <f t="shared" si="37"/>
        <v>0</v>
      </c>
      <c r="CN33" s="193">
        <f t="shared" si="37"/>
        <v>0</v>
      </c>
      <c r="CO33" s="193">
        <f t="shared" si="37"/>
        <v>0</v>
      </c>
      <c r="CP33" s="193">
        <f t="shared" si="37"/>
        <v>0</v>
      </c>
      <c r="CQ33" s="193">
        <f t="shared" si="37"/>
        <v>0</v>
      </c>
      <c r="CR33" s="193">
        <f t="shared" si="37"/>
        <v>0</v>
      </c>
      <c r="CS33" s="193">
        <f t="shared" si="37"/>
        <v>0</v>
      </c>
      <c r="CT33" s="193">
        <f t="shared" si="37"/>
        <v>0</v>
      </c>
      <c r="CU33" s="193">
        <f t="shared" si="37"/>
        <v>0</v>
      </c>
      <c r="CV33" s="193">
        <f t="shared" si="37"/>
        <v>0</v>
      </c>
      <c r="CW33" s="193">
        <f t="shared" si="37"/>
        <v>0</v>
      </c>
      <c r="CX33" s="193">
        <f t="shared" si="37"/>
        <v>0</v>
      </c>
      <c r="CY33" s="193">
        <f t="shared" ref="CY33:ED33" si="38">CY32/$H5*$H$4</f>
        <v>0</v>
      </c>
      <c r="CZ33" s="193">
        <f t="shared" si="38"/>
        <v>0</v>
      </c>
      <c r="DA33" s="193">
        <f t="shared" si="38"/>
        <v>0</v>
      </c>
      <c r="DB33" s="193">
        <f t="shared" si="38"/>
        <v>0</v>
      </c>
      <c r="DC33" s="193">
        <f t="shared" si="38"/>
        <v>0</v>
      </c>
      <c r="DD33" s="193">
        <f t="shared" si="38"/>
        <v>0</v>
      </c>
      <c r="DE33" s="193">
        <f t="shared" si="38"/>
        <v>0</v>
      </c>
      <c r="DF33" s="193">
        <f t="shared" si="38"/>
        <v>0</v>
      </c>
      <c r="DG33" s="193">
        <f t="shared" si="38"/>
        <v>0</v>
      </c>
      <c r="DH33" s="193">
        <f t="shared" si="38"/>
        <v>0</v>
      </c>
      <c r="DI33" s="193">
        <f t="shared" si="38"/>
        <v>0</v>
      </c>
      <c r="DJ33" s="193">
        <f t="shared" si="38"/>
        <v>0</v>
      </c>
      <c r="DK33" s="193">
        <f t="shared" si="38"/>
        <v>0</v>
      </c>
      <c r="DL33" s="193">
        <f t="shared" si="38"/>
        <v>0</v>
      </c>
      <c r="DM33" s="193">
        <f t="shared" si="38"/>
        <v>0</v>
      </c>
      <c r="DN33" s="193">
        <f t="shared" si="38"/>
        <v>0</v>
      </c>
      <c r="DO33" s="193">
        <f t="shared" si="38"/>
        <v>0</v>
      </c>
      <c r="DP33" s="193">
        <f t="shared" si="38"/>
        <v>0</v>
      </c>
      <c r="DQ33" s="193">
        <f t="shared" si="38"/>
        <v>0</v>
      </c>
      <c r="DR33" s="193">
        <f t="shared" si="38"/>
        <v>0</v>
      </c>
      <c r="DS33" s="193">
        <f t="shared" si="38"/>
        <v>0</v>
      </c>
      <c r="DT33" s="193">
        <f t="shared" si="38"/>
        <v>0</v>
      </c>
      <c r="DU33" s="193">
        <f t="shared" si="38"/>
        <v>0</v>
      </c>
      <c r="DV33" s="193">
        <f t="shared" si="38"/>
        <v>0</v>
      </c>
      <c r="DW33" s="193">
        <f t="shared" si="38"/>
        <v>0</v>
      </c>
      <c r="DX33" s="193">
        <f t="shared" si="38"/>
        <v>0</v>
      </c>
      <c r="DY33" s="193">
        <f t="shared" si="38"/>
        <v>0</v>
      </c>
      <c r="DZ33" s="193">
        <f t="shared" si="38"/>
        <v>0</v>
      </c>
      <c r="EA33" s="193">
        <f t="shared" si="38"/>
        <v>0</v>
      </c>
      <c r="EB33" s="193">
        <f t="shared" si="38"/>
        <v>0</v>
      </c>
      <c r="EC33" s="193">
        <f t="shared" si="38"/>
        <v>0</v>
      </c>
      <c r="ED33" s="193">
        <f t="shared" si="38"/>
        <v>0</v>
      </c>
      <c r="EE33" s="193">
        <f t="shared" ref="EE33:ET33" si="39">EE32/$H5*$H$4</f>
        <v>0</v>
      </c>
      <c r="EF33" s="193">
        <f t="shared" si="39"/>
        <v>0</v>
      </c>
      <c r="EG33" s="193">
        <f t="shared" si="39"/>
        <v>0</v>
      </c>
      <c r="EH33" s="193">
        <f t="shared" si="39"/>
        <v>0</v>
      </c>
      <c r="EI33" s="193">
        <f t="shared" si="39"/>
        <v>0</v>
      </c>
      <c r="EJ33" s="193">
        <f t="shared" si="39"/>
        <v>0</v>
      </c>
      <c r="EK33" s="193">
        <f t="shared" si="39"/>
        <v>0</v>
      </c>
      <c r="EL33" s="193">
        <f t="shared" si="39"/>
        <v>0</v>
      </c>
      <c r="EM33" s="193">
        <f t="shared" si="39"/>
        <v>0</v>
      </c>
      <c r="EN33" s="193">
        <f t="shared" si="39"/>
        <v>0</v>
      </c>
      <c r="EO33" s="193">
        <f t="shared" si="39"/>
        <v>0</v>
      </c>
      <c r="EP33" s="193">
        <f t="shared" si="39"/>
        <v>0</v>
      </c>
      <c r="EQ33" s="193">
        <f t="shared" si="39"/>
        <v>0</v>
      </c>
      <c r="ER33" s="193">
        <f t="shared" si="39"/>
        <v>0</v>
      </c>
      <c r="ES33" s="193">
        <f t="shared" si="39"/>
        <v>0</v>
      </c>
      <c r="ET33" s="193">
        <f t="shared" si="39"/>
        <v>0</v>
      </c>
      <c r="EV33" s="190" t="s">
        <v>82</v>
      </c>
    </row>
    <row r="34" spans="5:152" outlineLevel="1" x14ac:dyDescent="0.3">
      <c r="E34" t="s">
        <v>85</v>
      </c>
      <c r="G34" s="193">
        <f t="shared" ref="G34:BR34" si="40">SUM(G32:G33)</f>
        <v>0</v>
      </c>
      <c r="H34" s="193">
        <f t="shared" si="40"/>
        <v>0</v>
      </c>
      <c r="I34" s="193">
        <f t="shared" si="40"/>
        <v>0</v>
      </c>
      <c r="J34" s="193">
        <f t="shared" si="40"/>
        <v>0</v>
      </c>
      <c r="K34" s="193">
        <f t="shared" si="40"/>
        <v>0</v>
      </c>
      <c r="L34" s="193">
        <f t="shared" si="40"/>
        <v>0</v>
      </c>
      <c r="M34" s="193">
        <f t="shared" si="40"/>
        <v>0</v>
      </c>
      <c r="N34" s="193">
        <f t="shared" si="40"/>
        <v>0</v>
      </c>
      <c r="O34" s="193">
        <f t="shared" si="40"/>
        <v>0</v>
      </c>
      <c r="P34" s="193">
        <f t="shared" si="40"/>
        <v>0</v>
      </c>
      <c r="Q34" s="193">
        <f t="shared" si="40"/>
        <v>0</v>
      </c>
      <c r="R34" s="193">
        <f t="shared" si="40"/>
        <v>0</v>
      </c>
      <c r="S34" s="193">
        <f t="shared" si="40"/>
        <v>0</v>
      </c>
      <c r="T34" s="193">
        <f t="shared" si="40"/>
        <v>0</v>
      </c>
      <c r="U34" s="193">
        <f t="shared" si="40"/>
        <v>0</v>
      </c>
      <c r="V34" s="193">
        <f t="shared" si="40"/>
        <v>0</v>
      </c>
      <c r="W34" s="193">
        <f t="shared" si="40"/>
        <v>0</v>
      </c>
      <c r="X34" s="193">
        <f t="shared" si="40"/>
        <v>0</v>
      </c>
      <c r="Y34" s="193">
        <f t="shared" si="40"/>
        <v>0</v>
      </c>
      <c r="Z34" s="193">
        <f t="shared" si="40"/>
        <v>0</v>
      </c>
      <c r="AA34" s="193">
        <f t="shared" si="40"/>
        <v>0</v>
      </c>
      <c r="AB34" s="193">
        <f t="shared" si="40"/>
        <v>0</v>
      </c>
      <c r="AC34" s="193">
        <f t="shared" si="40"/>
        <v>0</v>
      </c>
      <c r="AD34" s="193">
        <f t="shared" si="40"/>
        <v>0</v>
      </c>
      <c r="AE34" s="193">
        <f t="shared" si="40"/>
        <v>0</v>
      </c>
      <c r="AF34" s="193">
        <f t="shared" si="40"/>
        <v>0</v>
      </c>
      <c r="AG34" s="193">
        <f t="shared" si="40"/>
        <v>0</v>
      </c>
      <c r="AH34" s="193">
        <f t="shared" si="40"/>
        <v>0</v>
      </c>
      <c r="AI34" s="193">
        <f t="shared" si="40"/>
        <v>0</v>
      </c>
      <c r="AJ34" s="193">
        <f t="shared" si="40"/>
        <v>0</v>
      </c>
      <c r="AK34" s="193">
        <f t="shared" si="40"/>
        <v>0</v>
      </c>
      <c r="AL34" s="193">
        <f t="shared" si="40"/>
        <v>0</v>
      </c>
      <c r="AM34" s="193">
        <f t="shared" si="40"/>
        <v>0</v>
      </c>
      <c r="AN34" s="193">
        <f t="shared" si="40"/>
        <v>0</v>
      </c>
      <c r="AO34" s="193">
        <f t="shared" si="40"/>
        <v>0</v>
      </c>
      <c r="AP34" s="193">
        <f t="shared" si="40"/>
        <v>0</v>
      </c>
      <c r="AQ34" s="193">
        <f t="shared" si="40"/>
        <v>0</v>
      </c>
      <c r="AR34" s="193">
        <f t="shared" si="40"/>
        <v>0</v>
      </c>
      <c r="AS34" s="193">
        <f t="shared" si="40"/>
        <v>0</v>
      </c>
      <c r="AT34" s="193">
        <f t="shared" si="40"/>
        <v>0</v>
      </c>
      <c r="AU34" s="193">
        <f t="shared" si="40"/>
        <v>0</v>
      </c>
      <c r="AV34" s="193">
        <f t="shared" si="40"/>
        <v>0</v>
      </c>
      <c r="AW34" s="193">
        <f t="shared" si="40"/>
        <v>0</v>
      </c>
      <c r="AX34" s="193">
        <f t="shared" si="40"/>
        <v>0</v>
      </c>
      <c r="AY34" s="193">
        <f t="shared" si="40"/>
        <v>0</v>
      </c>
      <c r="AZ34" s="193">
        <f t="shared" si="40"/>
        <v>0</v>
      </c>
      <c r="BA34" s="193">
        <f t="shared" si="40"/>
        <v>0</v>
      </c>
      <c r="BB34" s="193">
        <f t="shared" si="40"/>
        <v>0</v>
      </c>
      <c r="BC34" s="193">
        <f t="shared" si="40"/>
        <v>0</v>
      </c>
      <c r="BD34" s="193">
        <f t="shared" si="40"/>
        <v>0</v>
      </c>
      <c r="BE34" s="193">
        <f t="shared" si="40"/>
        <v>0</v>
      </c>
      <c r="BF34" s="193">
        <f t="shared" si="40"/>
        <v>0</v>
      </c>
      <c r="BG34" s="193">
        <f t="shared" si="40"/>
        <v>0</v>
      </c>
      <c r="BH34" s="193">
        <f t="shared" si="40"/>
        <v>0</v>
      </c>
      <c r="BI34" s="193">
        <f t="shared" si="40"/>
        <v>0</v>
      </c>
      <c r="BJ34" s="193">
        <f t="shared" si="40"/>
        <v>0</v>
      </c>
      <c r="BK34" s="193">
        <f t="shared" si="40"/>
        <v>0</v>
      </c>
      <c r="BL34" s="193">
        <f t="shared" si="40"/>
        <v>0</v>
      </c>
      <c r="BM34" s="193">
        <f t="shared" si="40"/>
        <v>0</v>
      </c>
      <c r="BN34" s="193">
        <f t="shared" si="40"/>
        <v>0</v>
      </c>
      <c r="BO34" s="193">
        <f t="shared" si="40"/>
        <v>0</v>
      </c>
      <c r="BP34" s="193">
        <f t="shared" si="40"/>
        <v>0</v>
      </c>
      <c r="BQ34" s="193">
        <f t="shared" si="40"/>
        <v>0</v>
      </c>
      <c r="BR34" s="193">
        <f t="shared" si="40"/>
        <v>0</v>
      </c>
      <c r="BS34" s="193">
        <f t="shared" ref="BS34:ED34" si="41">SUM(BS32:BS33)</f>
        <v>0</v>
      </c>
      <c r="BT34" s="193">
        <f t="shared" si="41"/>
        <v>0</v>
      </c>
      <c r="BU34" s="193">
        <f t="shared" si="41"/>
        <v>0</v>
      </c>
      <c r="BV34" s="193">
        <f t="shared" si="41"/>
        <v>0</v>
      </c>
      <c r="BW34" s="193">
        <f t="shared" si="41"/>
        <v>0</v>
      </c>
      <c r="BX34" s="193">
        <f t="shared" si="41"/>
        <v>0</v>
      </c>
      <c r="BY34" s="193">
        <f t="shared" si="41"/>
        <v>0</v>
      </c>
      <c r="BZ34" s="193">
        <f t="shared" si="41"/>
        <v>0</v>
      </c>
      <c r="CA34" s="193">
        <f t="shared" si="41"/>
        <v>0</v>
      </c>
      <c r="CB34" s="193">
        <f t="shared" si="41"/>
        <v>0</v>
      </c>
      <c r="CC34" s="193">
        <f t="shared" si="41"/>
        <v>0</v>
      </c>
      <c r="CD34" s="193">
        <f t="shared" si="41"/>
        <v>0</v>
      </c>
      <c r="CE34" s="193">
        <f t="shared" si="41"/>
        <v>0</v>
      </c>
      <c r="CF34" s="193">
        <f t="shared" si="41"/>
        <v>0</v>
      </c>
      <c r="CG34" s="193">
        <f t="shared" si="41"/>
        <v>0</v>
      </c>
      <c r="CH34" s="193">
        <f t="shared" si="41"/>
        <v>0</v>
      </c>
      <c r="CI34" s="193">
        <f t="shared" si="41"/>
        <v>0</v>
      </c>
      <c r="CJ34" s="193">
        <f t="shared" si="41"/>
        <v>0</v>
      </c>
      <c r="CK34" s="193">
        <f t="shared" si="41"/>
        <v>0</v>
      </c>
      <c r="CL34" s="193">
        <f t="shared" si="41"/>
        <v>0</v>
      </c>
      <c r="CM34" s="193">
        <f t="shared" si="41"/>
        <v>0</v>
      </c>
      <c r="CN34" s="193">
        <f t="shared" si="41"/>
        <v>0</v>
      </c>
      <c r="CO34" s="193">
        <f t="shared" si="41"/>
        <v>0</v>
      </c>
      <c r="CP34" s="193">
        <f t="shared" si="41"/>
        <v>0</v>
      </c>
      <c r="CQ34" s="193">
        <f t="shared" si="41"/>
        <v>0</v>
      </c>
      <c r="CR34" s="193">
        <f t="shared" si="41"/>
        <v>0</v>
      </c>
      <c r="CS34" s="193">
        <f t="shared" si="41"/>
        <v>0</v>
      </c>
      <c r="CT34" s="193">
        <f t="shared" si="41"/>
        <v>0</v>
      </c>
      <c r="CU34" s="193">
        <f t="shared" si="41"/>
        <v>0</v>
      </c>
      <c r="CV34" s="193">
        <f t="shared" si="41"/>
        <v>0</v>
      </c>
      <c r="CW34" s="193">
        <f t="shared" si="41"/>
        <v>0</v>
      </c>
      <c r="CX34" s="193">
        <f t="shared" si="41"/>
        <v>0</v>
      </c>
      <c r="CY34" s="193">
        <f t="shared" si="41"/>
        <v>0</v>
      </c>
      <c r="CZ34" s="193">
        <f t="shared" si="41"/>
        <v>0</v>
      </c>
      <c r="DA34" s="193">
        <f t="shared" si="41"/>
        <v>0</v>
      </c>
      <c r="DB34" s="193">
        <f t="shared" si="41"/>
        <v>0</v>
      </c>
      <c r="DC34" s="193">
        <f t="shared" si="41"/>
        <v>0</v>
      </c>
      <c r="DD34" s="193">
        <f t="shared" si="41"/>
        <v>0</v>
      </c>
      <c r="DE34" s="193">
        <f t="shared" si="41"/>
        <v>0</v>
      </c>
      <c r="DF34" s="193">
        <f t="shared" si="41"/>
        <v>0</v>
      </c>
      <c r="DG34" s="193">
        <f t="shared" si="41"/>
        <v>0</v>
      </c>
      <c r="DH34" s="193">
        <f t="shared" si="41"/>
        <v>0</v>
      </c>
      <c r="DI34" s="193">
        <f t="shared" si="41"/>
        <v>0</v>
      </c>
      <c r="DJ34" s="193">
        <f t="shared" si="41"/>
        <v>0</v>
      </c>
      <c r="DK34" s="193">
        <f t="shared" si="41"/>
        <v>0</v>
      </c>
      <c r="DL34" s="193">
        <f t="shared" si="41"/>
        <v>0</v>
      </c>
      <c r="DM34" s="193">
        <f t="shared" si="41"/>
        <v>0</v>
      </c>
      <c r="DN34" s="193">
        <f t="shared" si="41"/>
        <v>0</v>
      </c>
      <c r="DO34" s="193">
        <f t="shared" si="41"/>
        <v>0</v>
      </c>
      <c r="DP34" s="193">
        <f t="shared" si="41"/>
        <v>0</v>
      </c>
      <c r="DQ34" s="193">
        <f t="shared" si="41"/>
        <v>0</v>
      </c>
      <c r="DR34" s="193">
        <f t="shared" si="41"/>
        <v>0</v>
      </c>
      <c r="DS34" s="193">
        <f t="shared" si="41"/>
        <v>0</v>
      </c>
      <c r="DT34" s="193">
        <f t="shared" si="41"/>
        <v>0</v>
      </c>
      <c r="DU34" s="193">
        <f t="shared" si="41"/>
        <v>0</v>
      </c>
      <c r="DV34" s="193">
        <f t="shared" si="41"/>
        <v>0</v>
      </c>
      <c r="DW34" s="193">
        <f t="shared" si="41"/>
        <v>0</v>
      </c>
      <c r="DX34" s="193">
        <f t="shared" si="41"/>
        <v>0</v>
      </c>
      <c r="DY34" s="193">
        <f t="shared" si="41"/>
        <v>0</v>
      </c>
      <c r="DZ34" s="193">
        <f t="shared" si="41"/>
        <v>0</v>
      </c>
      <c r="EA34" s="193">
        <f t="shared" si="41"/>
        <v>0</v>
      </c>
      <c r="EB34" s="193">
        <f t="shared" si="41"/>
        <v>0</v>
      </c>
      <c r="EC34" s="193">
        <f t="shared" si="41"/>
        <v>0</v>
      </c>
      <c r="ED34" s="193">
        <f t="shared" si="41"/>
        <v>0</v>
      </c>
      <c r="EE34" s="193">
        <f t="shared" ref="EE34:ET34" si="42">SUM(EE32:EE33)</f>
        <v>0</v>
      </c>
      <c r="EF34" s="193">
        <f t="shared" si="42"/>
        <v>0</v>
      </c>
      <c r="EG34" s="193">
        <f t="shared" si="42"/>
        <v>0</v>
      </c>
      <c r="EH34" s="193">
        <f t="shared" si="42"/>
        <v>0</v>
      </c>
      <c r="EI34" s="193">
        <f t="shared" si="42"/>
        <v>0</v>
      </c>
      <c r="EJ34" s="193">
        <f t="shared" si="42"/>
        <v>0</v>
      </c>
      <c r="EK34" s="193">
        <f t="shared" si="42"/>
        <v>0</v>
      </c>
      <c r="EL34" s="193">
        <f t="shared" si="42"/>
        <v>0</v>
      </c>
      <c r="EM34" s="193">
        <f t="shared" si="42"/>
        <v>0</v>
      </c>
      <c r="EN34" s="193">
        <f t="shared" si="42"/>
        <v>0</v>
      </c>
      <c r="EO34" s="193">
        <f t="shared" si="42"/>
        <v>0</v>
      </c>
      <c r="EP34" s="193">
        <f t="shared" si="42"/>
        <v>0</v>
      </c>
      <c r="EQ34" s="193">
        <f t="shared" si="42"/>
        <v>0</v>
      </c>
      <c r="ER34" s="193">
        <f t="shared" si="42"/>
        <v>0</v>
      </c>
      <c r="ES34" s="193">
        <f t="shared" si="42"/>
        <v>0</v>
      </c>
      <c r="ET34" s="193">
        <f t="shared" si="42"/>
        <v>0</v>
      </c>
      <c r="EV34" s="190" t="s">
        <v>82</v>
      </c>
    </row>
    <row r="35" spans="5:152" outlineLevel="1" x14ac:dyDescent="0.3">
      <c r="EV35" s="190" t="s">
        <v>82</v>
      </c>
    </row>
    <row r="36" spans="5:152" outlineLevel="1" x14ac:dyDescent="0.3">
      <c r="E36" t="s">
        <v>87</v>
      </c>
      <c r="G36" s="193">
        <f t="shared" ref="G36:BR36" si="43">G29-G34</f>
        <v>0</v>
      </c>
      <c r="H36" s="193">
        <f t="shared" si="43"/>
        <v>0</v>
      </c>
      <c r="I36" s="193">
        <f t="shared" si="43"/>
        <v>0</v>
      </c>
      <c r="J36" s="193">
        <f t="shared" si="43"/>
        <v>0</v>
      </c>
      <c r="K36" s="193">
        <f t="shared" si="43"/>
        <v>0</v>
      </c>
      <c r="L36" s="193">
        <f t="shared" si="43"/>
        <v>0</v>
      </c>
      <c r="M36" s="193">
        <f t="shared" si="43"/>
        <v>0</v>
      </c>
      <c r="N36" s="193">
        <f t="shared" si="43"/>
        <v>0</v>
      </c>
      <c r="O36" s="193">
        <f t="shared" si="43"/>
        <v>0</v>
      </c>
      <c r="P36" s="193">
        <f t="shared" si="43"/>
        <v>0</v>
      </c>
      <c r="Q36" s="193">
        <f t="shared" si="43"/>
        <v>0</v>
      </c>
      <c r="R36" s="193">
        <f t="shared" si="43"/>
        <v>0</v>
      </c>
      <c r="S36" s="193">
        <f t="shared" si="43"/>
        <v>0</v>
      </c>
      <c r="T36" s="193">
        <f t="shared" si="43"/>
        <v>0</v>
      </c>
      <c r="U36" s="193">
        <f t="shared" si="43"/>
        <v>0</v>
      </c>
      <c r="V36" s="193">
        <f t="shared" si="43"/>
        <v>0</v>
      </c>
      <c r="W36" s="193">
        <f t="shared" si="43"/>
        <v>0</v>
      </c>
      <c r="X36" s="193">
        <f t="shared" si="43"/>
        <v>0</v>
      </c>
      <c r="Y36" s="193">
        <f t="shared" si="43"/>
        <v>0</v>
      </c>
      <c r="Z36" s="193">
        <f t="shared" si="43"/>
        <v>0</v>
      </c>
      <c r="AA36" s="193">
        <f t="shared" si="43"/>
        <v>0</v>
      </c>
      <c r="AB36" s="193">
        <f t="shared" si="43"/>
        <v>0</v>
      </c>
      <c r="AC36" s="193">
        <f t="shared" si="43"/>
        <v>0</v>
      </c>
      <c r="AD36" s="193">
        <f t="shared" si="43"/>
        <v>0</v>
      </c>
      <c r="AE36" s="193">
        <f t="shared" si="43"/>
        <v>0</v>
      </c>
      <c r="AF36" s="193">
        <f t="shared" si="43"/>
        <v>0</v>
      </c>
      <c r="AG36" s="193">
        <f t="shared" si="43"/>
        <v>0</v>
      </c>
      <c r="AH36" s="193">
        <f t="shared" si="43"/>
        <v>0</v>
      </c>
      <c r="AI36" s="193">
        <f t="shared" si="43"/>
        <v>0</v>
      </c>
      <c r="AJ36" s="193">
        <f t="shared" si="43"/>
        <v>0</v>
      </c>
      <c r="AK36" s="193">
        <f t="shared" si="43"/>
        <v>0</v>
      </c>
      <c r="AL36" s="193">
        <f t="shared" si="43"/>
        <v>0</v>
      </c>
      <c r="AM36" s="193">
        <f t="shared" si="43"/>
        <v>0</v>
      </c>
      <c r="AN36" s="193">
        <f t="shared" si="43"/>
        <v>0</v>
      </c>
      <c r="AO36" s="193">
        <f t="shared" si="43"/>
        <v>0</v>
      </c>
      <c r="AP36" s="193">
        <f t="shared" si="43"/>
        <v>0</v>
      </c>
      <c r="AQ36" s="193">
        <f t="shared" si="43"/>
        <v>0</v>
      </c>
      <c r="AR36" s="193">
        <f t="shared" si="43"/>
        <v>0</v>
      </c>
      <c r="AS36" s="193">
        <f t="shared" si="43"/>
        <v>0</v>
      </c>
      <c r="AT36" s="193">
        <f t="shared" si="43"/>
        <v>0</v>
      </c>
      <c r="AU36" s="193">
        <f t="shared" si="43"/>
        <v>0</v>
      </c>
      <c r="AV36" s="193">
        <f t="shared" si="43"/>
        <v>0</v>
      </c>
      <c r="AW36" s="193">
        <f t="shared" si="43"/>
        <v>0</v>
      </c>
      <c r="AX36" s="193">
        <f t="shared" si="43"/>
        <v>0</v>
      </c>
      <c r="AY36" s="193">
        <f t="shared" si="43"/>
        <v>0</v>
      </c>
      <c r="AZ36" s="193">
        <f t="shared" si="43"/>
        <v>0</v>
      </c>
      <c r="BA36" s="193">
        <f t="shared" si="43"/>
        <v>0</v>
      </c>
      <c r="BB36" s="193">
        <f t="shared" si="43"/>
        <v>0</v>
      </c>
      <c r="BC36" s="193">
        <f t="shared" si="43"/>
        <v>0</v>
      </c>
      <c r="BD36" s="193">
        <f t="shared" si="43"/>
        <v>0</v>
      </c>
      <c r="BE36" s="193">
        <f t="shared" si="43"/>
        <v>0</v>
      </c>
      <c r="BF36" s="193">
        <f t="shared" si="43"/>
        <v>0</v>
      </c>
      <c r="BG36" s="193">
        <f t="shared" si="43"/>
        <v>0</v>
      </c>
      <c r="BH36" s="193">
        <f t="shared" si="43"/>
        <v>0</v>
      </c>
      <c r="BI36" s="193">
        <f t="shared" si="43"/>
        <v>0</v>
      </c>
      <c r="BJ36" s="193">
        <f t="shared" si="43"/>
        <v>0</v>
      </c>
      <c r="BK36" s="193">
        <f t="shared" si="43"/>
        <v>0</v>
      </c>
      <c r="BL36" s="193">
        <f t="shared" si="43"/>
        <v>0</v>
      </c>
      <c r="BM36" s="193">
        <f t="shared" si="43"/>
        <v>0</v>
      </c>
      <c r="BN36" s="193">
        <f t="shared" si="43"/>
        <v>0</v>
      </c>
      <c r="BO36" s="193">
        <f t="shared" si="43"/>
        <v>0</v>
      </c>
      <c r="BP36" s="193">
        <f t="shared" si="43"/>
        <v>0</v>
      </c>
      <c r="BQ36" s="193">
        <f t="shared" si="43"/>
        <v>0</v>
      </c>
      <c r="BR36" s="193">
        <f t="shared" si="43"/>
        <v>0</v>
      </c>
      <c r="BS36" s="193">
        <f t="shared" ref="BS36:ED36" si="44">BS29-BS34</f>
        <v>0</v>
      </c>
      <c r="BT36" s="193">
        <f t="shared" si="44"/>
        <v>0</v>
      </c>
      <c r="BU36" s="193">
        <f t="shared" si="44"/>
        <v>0</v>
      </c>
      <c r="BV36" s="193">
        <f t="shared" si="44"/>
        <v>0</v>
      </c>
      <c r="BW36" s="193">
        <f t="shared" si="44"/>
        <v>0</v>
      </c>
      <c r="BX36" s="193">
        <f t="shared" si="44"/>
        <v>0</v>
      </c>
      <c r="BY36" s="193">
        <f t="shared" si="44"/>
        <v>0</v>
      </c>
      <c r="BZ36" s="193">
        <f t="shared" si="44"/>
        <v>0</v>
      </c>
      <c r="CA36" s="193">
        <f t="shared" si="44"/>
        <v>0</v>
      </c>
      <c r="CB36" s="193">
        <f t="shared" si="44"/>
        <v>0</v>
      </c>
      <c r="CC36" s="193">
        <f t="shared" si="44"/>
        <v>0</v>
      </c>
      <c r="CD36" s="193">
        <f t="shared" si="44"/>
        <v>0</v>
      </c>
      <c r="CE36" s="193">
        <f t="shared" si="44"/>
        <v>0</v>
      </c>
      <c r="CF36" s="193">
        <f t="shared" si="44"/>
        <v>0</v>
      </c>
      <c r="CG36" s="193">
        <f t="shared" si="44"/>
        <v>0</v>
      </c>
      <c r="CH36" s="193">
        <f t="shared" si="44"/>
        <v>0</v>
      </c>
      <c r="CI36" s="193">
        <f t="shared" si="44"/>
        <v>0</v>
      </c>
      <c r="CJ36" s="193">
        <f t="shared" si="44"/>
        <v>0</v>
      </c>
      <c r="CK36" s="193">
        <f t="shared" si="44"/>
        <v>0</v>
      </c>
      <c r="CL36" s="193">
        <f t="shared" si="44"/>
        <v>0</v>
      </c>
      <c r="CM36" s="193">
        <f t="shared" si="44"/>
        <v>0</v>
      </c>
      <c r="CN36" s="193">
        <f t="shared" si="44"/>
        <v>0</v>
      </c>
      <c r="CO36" s="193">
        <f t="shared" si="44"/>
        <v>0</v>
      </c>
      <c r="CP36" s="193">
        <f t="shared" si="44"/>
        <v>0</v>
      </c>
      <c r="CQ36" s="193">
        <f t="shared" si="44"/>
        <v>0</v>
      </c>
      <c r="CR36" s="193">
        <f t="shared" si="44"/>
        <v>0</v>
      </c>
      <c r="CS36" s="193">
        <f t="shared" si="44"/>
        <v>0</v>
      </c>
      <c r="CT36" s="193">
        <f t="shared" si="44"/>
        <v>0</v>
      </c>
      <c r="CU36" s="193">
        <f t="shared" si="44"/>
        <v>0</v>
      </c>
      <c r="CV36" s="193">
        <f t="shared" si="44"/>
        <v>0</v>
      </c>
      <c r="CW36" s="193">
        <f t="shared" si="44"/>
        <v>0</v>
      </c>
      <c r="CX36" s="193">
        <f t="shared" si="44"/>
        <v>0</v>
      </c>
      <c r="CY36" s="193">
        <f t="shared" si="44"/>
        <v>0</v>
      </c>
      <c r="CZ36" s="193">
        <f t="shared" si="44"/>
        <v>0</v>
      </c>
      <c r="DA36" s="193">
        <f t="shared" si="44"/>
        <v>0</v>
      </c>
      <c r="DB36" s="193">
        <f t="shared" si="44"/>
        <v>0</v>
      </c>
      <c r="DC36" s="193">
        <f t="shared" si="44"/>
        <v>0</v>
      </c>
      <c r="DD36" s="193">
        <f t="shared" si="44"/>
        <v>0</v>
      </c>
      <c r="DE36" s="193">
        <f t="shared" si="44"/>
        <v>0</v>
      </c>
      <c r="DF36" s="193">
        <f t="shared" si="44"/>
        <v>0</v>
      </c>
      <c r="DG36" s="193">
        <f t="shared" si="44"/>
        <v>0</v>
      </c>
      <c r="DH36" s="193">
        <f t="shared" si="44"/>
        <v>0</v>
      </c>
      <c r="DI36" s="193">
        <f t="shared" si="44"/>
        <v>0</v>
      </c>
      <c r="DJ36" s="193">
        <f t="shared" si="44"/>
        <v>0</v>
      </c>
      <c r="DK36" s="193">
        <f t="shared" si="44"/>
        <v>0</v>
      </c>
      <c r="DL36" s="193">
        <f t="shared" si="44"/>
        <v>0</v>
      </c>
      <c r="DM36" s="193">
        <f t="shared" si="44"/>
        <v>0</v>
      </c>
      <c r="DN36" s="193">
        <f t="shared" si="44"/>
        <v>0</v>
      </c>
      <c r="DO36" s="193">
        <f t="shared" si="44"/>
        <v>0</v>
      </c>
      <c r="DP36" s="193">
        <f t="shared" si="44"/>
        <v>0</v>
      </c>
      <c r="DQ36" s="193">
        <f t="shared" si="44"/>
        <v>0</v>
      </c>
      <c r="DR36" s="193">
        <f t="shared" si="44"/>
        <v>0</v>
      </c>
      <c r="DS36" s="193">
        <f t="shared" si="44"/>
        <v>0</v>
      </c>
      <c r="DT36" s="193">
        <f t="shared" si="44"/>
        <v>0</v>
      </c>
      <c r="DU36" s="193">
        <f t="shared" si="44"/>
        <v>0</v>
      </c>
      <c r="DV36" s="193">
        <f t="shared" si="44"/>
        <v>0</v>
      </c>
      <c r="DW36" s="193">
        <f t="shared" si="44"/>
        <v>0</v>
      </c>
      <c r="DX36" s="193">
        <f t="shared" si="44"/>
        <v>0</v>
      </c>
      <c r="DY36" s="193">
        <f t="shared" si="44"/>
        <v>0</v>
      </c>
      <c r="DZ36" s="193">
        <f t="shared" si="44"/>
        <v>0</v>
      </c>
      <c r="EA36" s="193">
        <f t="shared" si="44"/>
        <v>0</v>
      </c>
      <c r="EB36" s="193">
        <f t="shared" si="44"/>
        <v>0</v>
      </c>
      <c r="EC36" s="193">
        <f t="shared" si="44"/>
        <v>0</v>
      </c>
      <c r="ED36" s="193">
        <f t="shared" si="44"/>
        <v>0</v>
      </c>
      <c r="EE36" s="193">
        <f t="shared" ref="EE36:ET36" si="45">EE29-EE34</f>
        <v>0</v>
      </c>
      <c r="EF36" s="193">
        <f t="shared" si="45"/>
        <v>0</v>
      </c>
      <c r="EG36" s="193">
        <f t="shared" si="45"/>
        <v>0</v>
      </c>
      <c r="EH36" s="193">
        <f t="shared" si="45"/>
        <v>0</v>
      </c>
      <c r="EI36" s="193">
        <f t="shared" si="45"/>
        <v>0</v>
      </c>
      <c r="EJ36" s="193">
        <f t="shared" si="45"/>
        <v>0</v>
      </c>
      <c r="EK36" s="193">
        <f t="shared" si="45"/>
        <v>0</v>
      </c>
      <c r="EL36" s="193">
        <f t="shared" si="45"/>
        <v>0</v>
      </c>
      <c r="EM36" s="193">
        <f t="shared" si="45"/>
        <v>0</v>
      </c>
      <c r="EN36" s="193">
        <f t="shared" si="45"/>
        <v>0</v>
      </c>
      <c r="EO36" s="193">
        <f t="shared" si="45"/>
        <v>0</v>
      </c>
      <c r="EP36" s="193">
        <f t="shared" si="45"/>
        <v>0</v>
      </c>
      <c r="EQ36" s="193">
        <f t="shared" si="45"/>
        <v>0</v>
      </c>
      <c r="ER36" s="193">
        <f t="shared" si="45"/>
        <v>0</v>
      </c>
      <c r="ES36" s="193">
        <f t="shared" si="45"/>
        <v>0</v>
      </c>
      <c r="ET36" s="193">
        <f t="shared" si="45"/>
        <v>0</v>
      </c>
      <c r="EV36" s="190" t="s">
        <v>82</v>
      </c>
    </row>
    <row r="37" spans="5:152" outlineLevel="1" x14ac:dyDescent="0.3">
      <c r="EV37" s="190" t="s">
        <v>82</v>
      </c>
    </row>
    <row r="38" spans="5:152" outlineLevel="1" x14ac:dyDescent="0.3">
      <c r="G38" s="193"/>
      <c r="H38" s="193"/>
      <c r="I38" s="193"/>
      <c r="J38" s="193"/>
      <c r="K38" s="193"/>
      <c r="L38" s="193"/>
      <c r="M38" s="193"/>
      <c r="N38" s="193"/>
      <c r="O38" s="193"/>
      <c r="P38" s="193"/>
      <c r="Q38" s="193"/>
      <c r="R38" s="193"/>
      <c r="S38" s="193"/>
      <c r="T38" s="193"/>
      <c r="U38" s="193"/>
      <c r="V38" s="193"/>
      <c r="W38" s="193"/>
      <c r="X38" s="193"/>
      <c r="Y38" s="193"/>
      <c r="Z38" s="193"/>
      <c r="AA38" s="193"/>
      <c r="AB38" s="193"/>
      <c r="AC38" s="193"/>
      <c r="AD38" s="193"/>
      <c r="AE38" s="193"/>
      <c r="AF38" s="193"/>
      <c r="AG38" s="193"/>
      <c r="AH38" s="193"/>
      <c r="AI38" s="193"/>
      <c r="AJ38" s="193"/>
      <c r="AK38" s="193"/>
      <c r="AL38" s="193"/>
      <c r="AM38" s="193"/>
      <c r="AN38" s="193"/>
      <c r="AO38" s="193"/>
      <c r="AP38" s="193"/>
      <c r="AQ38" s="193"/>
      <c r="AR38" s="193"/>
      <c r="AS38" s="193"/>
      <c r="AT38" s="193"/>
      <c r="AU38" s="193"/>
      <c r="AV38" s="193"/>
      <c r="AW38" s="193"/>
      <c r="AX38" s="193"/>
      <c r="AY38" s="193"/>
      <c r="AZ38" s="193"/>
      <c r="BA38" s="193"/>
      <c r="BB38" s="193"/>
      <c r="BC38" s="193"/>
      <c r="BD38" s="193"/>
      <c r="BE38" s="193"/>
      <c r="BF38" s="193"/>
      <c r="BG38" s="193"/>
      <c r="BH38" s="193"/>
      <c r="BI38" s="193"/>
      <c r="BJ38" s="193"/>
      <c r="BK38" s="193"/>
      <c r="BL38" s="193"/>
      <c r="BM38" s="193"/>
      <c r="BN38" s="193"/>
      <c r="BO38" s="193"/>
      <c r="BP38" s="193"/>
      <c r="BQ38" s="193"/>
      <c r="BR38" s="193"/>
      <c r="BS38" s="193"/>
      <c r="BT38" s="193"/>
      <c r="BU38" s="193"/>
      <c r="BV38" s="193"/>
      <c r="BW38" s="193"/>
      <c r="BX38" s="193"/>
      <c r="BY38" s="193"/>
      <c r="BZ38" s="193"/>
      <c r="CA38" s="193"/>
      <c r="CB38" s="193"/>
      <c r="CC38" s="193"/>
      <c r="CD38" s="193"/>
      <c r="CE38" s="193"/>
      <c r="CF38" s="193"/>
      <c r="CG38" s="193"/>
      <c r="CH38" s="193"/>
      <c r="CI38" s="193"/>
      <c r="CJ38" s="193"/>
      <c r="CK38" s="193"/>
      <c r="CL38" s="193"/>
      <c r="CM38" s="193"/>
      <c r="CN38" s="193"/>
      <c r="CO38" s="193"/>
      <c r="CP38" s="193"/>
      <c r="CQ38" s="193"/>
      <c r="CR38" s="193"/>
      <c r="CS38" s="193"/>
      <c r="CT38" s="193"/>
      <c r="CU38" s="193"/>
      <c r="CV38" s="193"/>
      <c r="CW38" s="193"/>
      <c r="CX38" s="193"/>
      <c r="CY38" s="193"/>
      <c r="CZ38" s="193"/>
      <c r="DA38" s="193"/>
      <c r="DB38" s="193"/>
      <c r="DC38" s="193"/>
      <c r="DD38" s="193"/>
      <c r="DE38" s="193"/>
      <c r="DF38" s="193"/>
      <c r="DG38" s="193"/>
      <c r="DH38" s="193"/>
      <c r="DI38" s="193"/>
      <c r="DJ38" s="193"/>
      <c r="DK38" s="193"/>
      <c r="DL38" s="193"/>
      <c r="DM38" s="193"/>
      <c r="DN38" s="193"/>
      <c r="DO38" s="193"/>
      <c r="DP38" s="193"/>
      <c r="DQ38" s="193"/>
      <c r="DR38" s="193"/>
      <c r="DS38" s="193"/>
      <c r="DT38" s="193"/>
      <c r="DU38" s="193"/>
      <c r="DV38" s="193"/>
      <c r="DW38" s="193"/>
      <c r="DX38" s="193"/>
      <c r="DY38" s="193"/>
      <c r="DZ38" s="193"/>
      <c r="EA38" s="193"/>
      <c r="EB38" s="193"/>
      <c r="EC38" s="193"/>
      <c r="ED38" s="193"/>
      <c r="EE38" s="193"/>
      <c r="EF38" s="193"/>
      <c r="EG38" s="193"/>
      <c r="EH38" s="193"/>
      <c r="EI38" s="193"/>
      <c r="EJ38" s="193"/>
      <c r="EK38" s="193"/>
      <c r="EL38" s="193"/>
      <c r="EM38" s="193"/>
      <c r="EN38" s="193"/>
      <c r="EO38" s="193"/>
      <c r="EP38" s="193"/>
      <c r="EQ38" s="193"/>
      <c r="ER38" s="193"/>
      <c r="ES38" s="193"/>
      <c r="ET38" s="193"/>
      <c r="EV38" s="190" t="s">
        <v>82</v>
      </c>
    </row>
    <row r="39" spans="5:152" outlineLevel="1" x14ac:dyDescent="0.3">
      <c r="E39" s="37" t="s">
        <v>90</v>
      </c>
      <c r="G39" s="193"/>
      <c r="H39" s="193"/>
      <c r="I39" s="193"/>
      <c r="J39" s="193"/>
      <c r="K39" s="193"/>
      <c r="L39" s="193"/>
      <c r="M39" s="193"/>
      <c r="N39" s="193"/>
      <c r="O39" s="193"/>
      <c r="P39" s="193"/>
      <c r="Q39" s="193"/>
      <c r="R39" s="193"/>
      <c r="S39" s="193"/>
      <c r="T39" s="193"/>
      <c r="U39" s="193"/>
      <c r="V39" s="193"/>
      <c r="W39" s="193"/>
      <c r="X39" s="193"/>
      <c r="Y39" s="193"/>
      <c r="Z39" s="193"/>
      <c r="AA39" s="193"/>
      <c r="AB39" s="193"/>
      <c r="AC39" s="193"/>
      <c r="AD39" s="193"/>
      <c r="AE39" s="193"/>
      <c r="AF39" s="193"/>
      <c r="AG39" s="193"/>
      <c r="AH39" s="193"/>
      <c r="AI39" s="193"/>
      <c r="AJ39" s="193"/>
      <c r="AK39" s="193"/>
      <c r="AL39" s="193"/>
      <c r="AM39" s="193"/>
      <c r="AN39" s="193"/>
      <c r="AO39" s="193"/>
      <c r="AP39" s="193"/>
      <c r="AQ39" s="193"/>
      <c r="AR39" s="193"/>
      <c r="AS39" s="193"/>
      <c r="AT39" s="193"/>
      <c r="AU39" s="193"/>
      <c r="AV39" s="193"/>
      <c r="AW39" s="193"/>
      <c r="AX39" s="193"/>
      <c r="AY39" s="193"/>
      <c r="AZ39" s="193"/>
      <c r="BA39" s="193"/>
      <c r="BB39" s="193"/>
      <c r="BC39" s="193"/>
      <c r="BD39" s="193"/>
      <c r="BE39" s="193"/>
      <c r="BF39" s="193"/>
      <c r="BG39" s="193"/>
      <c r="BH39" s="193"/>
      <c r="BI39" s="193"/>
      <c r="BJ39" s="193"/>
      <c r="BK39" s="193"/>
      <c r="BL39" s="193"/>
      <c r="BM39" s="193"/>
      <c r="BN39" s="193"/>
      <c r="BO39" s="193"/>
      <c r="BP39" s="193"/>
      <c r="BQ39" s="193"/>
      <c r="BR39" s="193"/>
      <c r="BS39" s="193"/>
      <c r="BT39" s="193"/>
      <c r="BU39" s="193"/>
      <c r="BV39" s="193"/>
      <c r="BW39" s="193"/>
      <c r="BX39" s="193"/>
      <c r="BY39" s="193"/>
      <c r="BZ39" s="193"/>
      <c r="CA39" s="193"/>
      <c r="CB39" s="193"/>
      <c r="CC39" s="193"/>
      <c r="CD39" s="193"/>
      <c r="CE39" s="193"/>
      <c r="CF39" s="193"/>
      <c r="CG39" s="193"/>
      <c r="CH39" s="193"/>
      <c r="CI39" s="193"/>
      <c r="CJ39" s="193"/>
      <c r="CK39" s="193"/>
      <c r="CL39" s="193"/>
      <c r="CM39" s="193"/>
      <c r="CN39" s="193"/>
      <c r="CO39" s="193"/>
      <c r="CP39" s="193"/>
      <c r="CQ39" s="193"/>
      <c r="CR39" s="193"/>
      <c r="CS39" s="193"/>
      <c r="CT39" s="193"/>
      <c r="CU39" s="193"/>
      <c r="CV39" s="193"/>
      <c r="CW39" s="193"/>
      <c r="CX39" s="193"/>
      <c r="CY39" s="193"/>
      <c r="CZ39" s="193"/>
      <c r="DA39" s="193"/>
      <c r="DB39" s="193"/>
      <c r="DC39" s="193"/>
      <c r="DD39" s="193"/>
      <c r="DE39" s="193"/>
      <c r="DF39" s="193"/>
      <c r="DG39" s="193"/>
      <c r="DH39" s="193"/>
      <c r="DI39" s="193"/>
      <c r="DJ39" s="193"/>
      <c r="DK39" s="193"/>
      <c r="DL39" s="193"/>
      <c r="DM39" s="193"/>
      <c r="DN39" s="193"/>
      <c r="DO39" s="193"/>
      <c r="DP39" s="193"/>
      <c r="DQ39" s="193"/>
      <c r="DR39" s="193"/>
      <c r="DS39" s="193"/>
      <c r="DT39" s="193"/>
      <c r="DU39" s="193"/>
      <c r="DV39" s="193"/>
      <c r="DW39" s="193"/>
      <c r="DX39" s="193"/>
      <c r="DY39" s="193"/>
      <c r="DZ39" s="193"/>
      <c r="EA39" s="193"/>
      <c r="EB39" s="193"/>
      <c r="EC39" s="193"/>
      <c r="ED39" s="193"/>
      <c r="EE39" s="193"/>
      <c r="EF39" s="193"/>
      <c r="EG39" s="193"/>
      <c r="EH39" s="193"/>
      <c r="EI39" s="193"/>
      <c r="EJ39" s="193"/>
      <c r="EK39" s="193"/>
      <c r="EL39" s="193"/>
      <c r="EM39" s="193"/>
      <c r="EN39" s="193"/>
      <c r="EO39" s="193"/>
      <c r="EP39" s="193"/>
      <c r="EQ39" s="193"/>
      <c r="ER39" s="193"/>
      <c r="ES39" s="193"/>
      <c r="ET39" s="193"/>
      <c r="EV39" s="190" t="s">
        <v>82</v>
      </c>
    </row>
    <row r="40" spans="5:152" outlineLevel="1" x14ac:dyDescent="0.3">
      <c r="E40" t="str">
        <f>$E$5</f>
        <v>Capital Partner</v>
      </c>
      <c r="G40" s="193">
        <f>G73</f>
        <v>0</v>
      </c>
      <c r="H40" s="193">
        <f t="shared" ref="H40:AM40" si="46">H36*$J$5</f>
        <v>0</v>
      </c>
      <c r="I40" s="193">
        <f t="shared" si="46"/>
        <v>0</v>
      </c>
      <c r="J40" s="193">
        <f t="shared" si="46"/>
        <v>0</v>
      </c>
      <c r="K40" s="193">
        <f t="shared" si="46"/>
        <v>0</v>
      </c>
      <c r="L40" s="193">
        <f t="shared" si="46"/>
        <v>0</v>
      </c>
      <c r="M40" s="193">
        <f t="shared" si="46"/>
        <v>0</v>
      </c>
      <c r="N40" s="193">
        <f t="shared" si="46"/>
        <v>0</v>
      </c>
      <c r="O40" s="193">
        <f t="shared" si="46"/>
        <v>0</v>
      </c>
      <c r="P40" s="193">
        <f t="shared" si="46"/>
        <v>0</v>
      </c>
      <c r="Q40" s="193">
        <f t="shared" si="46"/>
        <v>0</v>
      </c>
      <c r="R40" s="193">
        <f t="shared" si="46"/>
        <v>0</v>
      </c>
      <c r="S40" s="193">
        <f t="shared" si="46"/>
        <v>0</v>
      </c>
      <c r="T40" s="193">
        <f t="shared" si="46"/>
        <v>0</v>
      </c>
      <c r="U40" s="193">
        <f t="shared" si="46"/>
        <v>0</v>
      </c>
      <c r="V40" s="193">
        <f t="shared" si="46"/>
        <v>0</v>
      </c>
      <c r="W40" s="193">
        <f t="shared" si="46"/>
        <v>0</v>
      </c>
      <c r="X40" s="193">
        <f t="shared" si="46"/>
        <v>0</v>
      </c>
      <c r="Y40" s="193">
        <f t="shared" si="46"/>
        <v>0</v>
      </c>
      <c r="Z40" s="193">
        <f t="shared" si="46"/>
        <v>0</v>
      </c>
      <c r="AA40" s="193">
        <f t="shared" si="46"/>
        <v>0</v>
      </c>
      <c r="AB40" s="193">
        <f t="shared" si="46"/>
        <v>0</v>
      </c>
      <c r="AC40" s="193">
        <f t="shared" si="46"/>
        <v>0</v>
      </c>
      <c r="AD40" s="193">
        <f t="shared" si="46"/>
        <v>0</v>
      </c>
      <c r="AE40" s="193">
        <f t="shared" si="46"/>
        <v>0</v>
      </c>
      <c r="AF40" s="193">
        <f t="shared" si="46"/>
        <v>0</v>
      </c>
      <c r="AG40" s="193">
        <f t="shared" si="46"/>
        <v>0</v>
      </c>
      <c r="AH40" s="193">
        <f t="shared" si="46"/>
        <v>0</v>
      </c>
      <c r="AI40" s="193">
        <f t="shared" si="46"/>
        <v>0</v>
      </c>
      <c r="AJ40" s="193">
        <f t="shared" si="46"/>
        <v>0</v>
      </c>
      <c r="AK40" s="193">
        <f t="shared" si="46"/>
        <v>0</v>
      </c>
      <c r="AL40" s="193">
        <f t="shared" si="46"/>
        <v>0</v>
      </c>
      <c r="AM40" s="193">
        <f t="shared" si="46"/>
        <v>0</v>
      </c>
      <c r="AN40" s="193">
        <f t="shared" ref="AN40:BS40" si="47">AN36*$J$5</f>
        <v>0</v>
      </c>
      <c r="AO40" s="193">
        <f t="shared" si="47"/>
        <v>0</v>
      </c>
      <c r="AP40" s="193">
        <f t="shared" si="47"/>
        <v>0</v>
      </c>
      <c r="AQ40" s="193">
        <f t="shared" si="47"/>
        <v>0</v>
      </c>
      <c r="AR40" s="193">
        <f t="shared" si="47"/>
        <v>0</v>
      </c>
      <c r="AS40" s="193">
        <f t="shared" si="47"/>
        <v>0</v>
      </c>
      <c r="AT40" s="193">
        <f t="shared" si="47"/>
        <v>0</v>
      </c>
      <c r="AU40" s="193">
        <f t="shared" si="47"/>
        <v>0</v>
      </c>
      <c r="AV40" s="193">
        <f t="shared" si="47"/>
        <v>0</v>
      </c>
      <c r="AW40" s="193">
        <f t="shared" si="47"/>
        <v>0</v>
      </c>
      <c r="AX40" s="193">
        <f t="shared" si="47"/>
        <v>0</v>
      </c>
      <c r="AY40" s="193">
        <f t="shared" si="47"/>
        <v>0</v>
      </c>
      <c r="AZ40" s="193">
        <f t="shared" si="47"/>
        <v>0</v>
      </c>
      <c r="BA40" s="193">
        <f t="shared" si="47"/>
        <v>0</v>
      </c>
      <c r="BB40" s="193">
        <f t="shared" si="47"/>
        <v>0</v>
      </c>
      <c r="BC40" s="193">
        <f t="shared" si="47"/>
        <v>0</v>
      </c>
      <c r="BD40" s="193">
        <f t="shared" si="47"/>
        <v>0</v>
      </c>
      <c r="BE40" s="193">
        <f t="shared" si="47"/>
        <v>0</v>
      </c>
      <c r="BF40" s="193">
        <f t="shared" si="47"/>
        <v>0</v>
      </c>
      <c r="BG40" s="193">
        <f t="shared" si="47"/>
        <v>0</v>
      </c>
      <c r="BH40" s="193">
        <f t="shared" si="47"/>
        <v>0</v>
      </c>
      <c r="BI40" s="193">
        <f t="shared" si="47"/>
        <v>0</v>
      </c>
      <c r="BJ40" s="193">
        <f t="shared" si="47"/>
        <v>0</v>
      </c>
      <c r="BK40" s="193">
        <f t="shared" si="47"/>
        <v>0</v>
      </c>
      <c r="BL40" s="193">
        <f t="shared" si="47"/>
        <v>0</v>
      </c>
      <c r="BM40" s="193">
        <f t="shared" si="47"/>
        <v>0</v>
      </c>
      <c r="BN40" s="193">
        <f t="shared" si="47"/>
        <v>0</v>
      </c>
      <c r="BO40" s="193">
        <f t="shared" si="47"/>
        <v>0</v>
      </c>
      <c r="BP40" s="193">
        <f t="shared" si="47"/>
        <v>0</v>
      </c>
      <c r="BQ40" s="193">
        <f t="shared" si="47"/>
        <v>0</v>
      </c>
      <c r="BR40" s="193">
        <f t="shared" si="47"/>
        <v>0</v>
      </c>
      <c r="BS40" s="193">
        <f t="shared" si="47"/>
        <v>0</v>
      </c>
      <c r="BT40" s="193">
        <f t="shared" ref="BT40:CY40" si="48">BT36*$J$5</f>
        <v>0</v>
      </c>
      <c r="BU40" s="193">
        <f t="shared" si="48"/>
        <v>0</v>
      </c>
      <c r="BV40" s="193">
        <f t="shared" si="48"/>
        <v>0</v>
      </c>
      <c r="BW40" s="193">
        <f t="shared" si="48"/>
        <v>0</v>
      </c>
      <c r="BX40" s="193">
        <f t="shared" si="48"/>
        <v>0</v>
      </c>
      <c r="BY40" s="193">
        <f t="shared" si="48"/>
        <v>0</v>
      </c>
      <c r="BZ40" s="193">
        <f t="shared" si="48"/>
        <v>0</v>
      </c>
      <c r="CA40" s="193">
        <f t="shared" si="48"/>
        <v>0</v>
      </c>
      <c r="CB40" s="193">
        <f t="shared" si="48"/>
        <v>0</v>
      </c>
      <c r="CC40" s="193">
        <f t="shared" si="48"/>
        <v>0</v>
      </c>
      <c r="CD40" s="193">
        <f t="shared" si="48"/>
        <v>0</v>
      </c>
      <c r="CE40" s="193">
        <f t="shared" si="48"/>
        <v>0</v>
      </c>
      <c r="CF40" s="193">
        <f t="shared" si="48"/>
        <v>0</v>
      </c>
      <c r="CG40" s="193">
        <f t="shared" si="48"/>
        <v>0</v>
      </c>
      <c r="CH40" s="193">
        <f t="shared" si="48"/>
        <v>0</v>
      </c>
      <c r="CI40" s="193">
        <f t="shared" si="48"/>
        <v>0</v>
      </c>
      <c r="CJ40" s="193">
        <f t="shared" si="48"/>
        <v>0</v>
      </c>
      <c r="CK40" s="193">
        <f t="shared" si="48"/>
        <v>0</v>
      </c>
      <c r="CL40" s="193">
        <f t="shared" si="48"/>
        <v>0</v>
      </c>
      <c r="CM40" s="193">
        <f t="shared" si="48"/>
        <v>0</v>
      </c>
      <c r="CN40" s="193">
        <f t="shared" si="48"/>
        <v>0</v>
      </c>
      <c r="CO40" s="193">
        <f t="shared" si="48"/>
        <v>0</v>
      </c>
      <c r="CP40" s="193">
        <f t="shared" si="48"/>
        <v>0</v>
      </c>
      <c r="CQ40" s="193">
        <f t="shared" si="48"/>
        <v>0</v>
      </c>
      <c r="CR40" s="193">
        <f t="shared" si="48"/>
        <v>0</v>
      </c>
      <c r="CS40" s="193">
        <f t="shared" si="48"/>
        <v>0</v>
      </c>
      <c r="CT40" s="193">
        <f t="shared" si="48"/>
        <v>0</v>
      </c>
      <c r="CU40" s="193">
        <f t="shared" si="48"/>
        <v>0</v>
      </c>
      <c r="CV40" s="193">
        <f t="shared" si="48"/>
        <v>0</v>
      </c>
      <c r="CW40" s="193">
        <f t="shared" si="48"/>
        <v>0</v>
      </c>
      <c r="CX40" s="193">
        <f t="shared" si="48"/>
        <v>0</v>
      </c>
      <c r="CY40" s="193">
        <f t="shared" si="48"/>
        <v>0</v>
      </c>
      <c r="CZ40" s="193">
        <f t="shared" ref="CZ40:EE40" si="49">CZ36*$J$5</f>
        <v>0</v>
      </c>
      <c r="DA40" s="193">
        <f t="shared" si="49"/>
        <v>0</v>
      </c>
      <c r="DB40" s="193">
        <f t="shared" si="49"/>
        <v>0</v>
      </c>
      <c r="DC40" s="193">
        <f t="shared" si="49"/>
        <v>0</v>
      </c>
      <c r="DD40" s="193">
        <f t="shared" si="49"/>
        <v>0</v>
      </c>
      <c r="DE40" s="193">
        <f t="shared" si="49"/>
        <v>0</v>
      </c>
      <c r="DF40" s="193">
        <f t="shared" si="49"/>
        <v>0</v>
      </c>
      <c r="DG40" s="193">
        <f t="shared" si="49"/>
        <v>0</v>
      </c>
      <c r="DH40" s="193">
        <f t="shared" si="49"/>
        <v>0</v>
      </c>
      <c r="DI40" s="193">
        <f t="shared" si="49"/>
        <v>0</v>
      </c>
      <c r="DJ40" s="193">
        <f t="shared" si="49"/>
        <v>0</v>
      </c>
      <c r="DK40" s="193">
        <f t="shared" si="49"/>
        <v>0</v>
      </c>
      <c r="DL40" s="193">
        <f t="shared" si="49"/>
        <v>0</v>
      </c>
      <c r="DM40" s="193">
        <f t="shared" si="49"/>
        <v>0</v>
      </c>
      <c r="DN40" s="193">
        <f t="shared" si="49"/>
        <v>0</v>
      </c>
      <c r="DO40" s="193">
        <f t="shared" si="49"/>
        <v>0</v>
      </c>
      <c r="DP40" s="193">
        <f t="shared" si="49"/>
        <v>0</v>
      </c>
      <c r="DQ40" s="193">
        <f t="shared" si="49"/>
        <v>0</v>
      </c>
      <c r="DR40" s="193">
        <f t="shared" si="49"/>
        <v>0</v>
      </c>
      <c r="DS40" s="193">
        <f t="shared" si="49"/>
        <v>0</v>
      </c>
      <c r="DT40" s="193">
        <f t="shared" si="49"/>
        <v>0</v>
      </c>
      <c r="DU40" s="193">
        <f t="shared" si="49"/>
        <v>0</v>
      </c>
      <c r="DV40" s="193">
        <f t="shared" si="49"/>
        <v>0</v>
      </c>
      <c r="DW40" s="193">
        <f t="shared" si="49"/>
        <v>0</v>
      </c>
      <c r="DX40" s="193">
        <f t="shared" si="49"/>
        <v>0</v>
      </c>
      <c r="DY40" s="193">
        <f t="shared" si="49"/>
        <v>0</v>
      </c>
      <c r="DZ40" s="193">
        <f t="shared" si="49"/>
        <v>0</v>
      </c>
      <c r="EA40" s="193">
        <f t="shared" si="49"/>
        <v>0</v>
      </c>
      <c r="EB40" s="193">
        <f t="shared" si="49"/>
        <v>0</v>
      </c>
      <c r="EC40" s="193">
        <f t="shared" si="49"/>
        <v>0</v>
      </c>
      <c r="ED40" s="193">
        <f t="shared" si="49"/>
        <v>0</v>
      </c>
      <c r="EE40" s="193">
        <f t="shared" si="49"/>
        <v>0</v>
      </c>
      <c r="EF40" s="193">
        <f t="shared" ref="EF40:ET40" si="50">EF36*$J$5</f>
        <v>0</v>
      </c>
      <c r="EG40" s="193">
        <f t="shared" si="50"/>
        <v>0</v>
      </c>
      <c r="EH40" s="193">
        <f t="shared" si="50"/>
        <v>0</v>
      </c>
      <c r="EI40" s="193">
        <f t="shared" si="50"/>
        <v>0</v>
      </c>
      <c r="EJ40" s="193">
        <f t="shared" si="50"/>
        <v>0</v>
      </c>
      <c r="EK40" s="193">
        <f t="shared" si="50"/>
        <v>0</v>
      </c>
      <c r="EL40" s="193">
        <f t="shared" si="50"/>
        <v>0</v>
      </c>
      <c r="EM40" s="193">
        <f t="shared" si="50"/>
        <v>0</v>
      </c>
      <c r="EN40" s="193">
        <f t="shared" si="50"/>
        <v>0</v>
      </c>
      <c r="EO40" s="193">
        <f t="shared" si="50"/>
        <v>0</v>
      </c>
      <c r="EP40" s="193">
        <f t="shared" si="50"/>
        <v>0</v>
      </c>
      <c r="EQ40" s="193">
        <f t="shared" si="50"/>
        <v>0</v>
      </c>
      <c r="ER40" s="193">
        <f t="shared" si="50"/>
        <v>0</v>
      </c>
      <c r="ES40" s="193">
        <f t="shared" si="50"/>
        <v>0</v>
      </c>
      <c r="ET40" s="193">
        <f t="shared" si="50"/>
        <v>0</v>
      </c>
      <c r="EV40" s="190" t="s">
        <v>82</v>
      </c>
    </row>
    <row r="41" spans="5:152" outlineLevel="1" x14ac:dyDescent="0.3">
      <c r="E41" t="str">
        <f>$E$4</f>
        <v>Sponsor</v>
      </c>
      <c r="G41" s="193">
        <f t="shared" ref="G41:AL41" si="51">G40/$J5*$J$4</f>
        <v>0</v>
      </c>
      <c r="H41" s="193">
        <f t="shared" si="51"/>
        <v>0</v>
      </c>
      <c r="I41" s="193">
        <f t="shared" si="51"/>
        <v>0</v>
      </c>
      <c r="J41" s="193">
        <f t="shared" si="51"/>
        <v>0</v>
      </c>
      <c r="K41" s="193">
        <f t="shared" si="51"/>
        <v>0</v>
      </c>
      <c r="L41" s="193">
        <f t="shared" si="51"/>
        <v>0</v>
      </c>
      <c r="M41" s="193">
        <f t="shared" si="51"/>
        <v>0</v>
      </c>
      <c r="N41" s="193">
        <f t="shared" si="51"/>
        <v>0</v>
      </c>
      <c r="O41" s="193">
        <f t="shared" si="51"/>
        <v>0</v>
      </c>
      <c r="P41" s="193">
        <f t="shared" si="51"/>
        <v>0</v>
      </c>
      <c r="Q41" s="193">
        <f t="shared" si="51"/>
        <v>0</v>
      </c>
      <c r="R41" s="193">
        <f t="shared" si="51"/>
        <v>0</v>
      </c>
      <c r="S41" s="193">
        <f t="shared" si="51"/>
        <v>0</v>
      </c>
      <c r="T41" s="193">
        <f t="shared" si="51"/>
        <v>0</v>
      </c>
      <c r="U41" s="193">
        <f t="shared" si="51"/>
        <v>0</v>
      </c>
      <c r="V41" s="193">
        <f t="shared" si="51"/>
        <v>0</v>
      </c>
      <c r="W41" s="193">
        <f t="shared" si="51"/>
        <v>0</v>
      </c>
      <c r="X41" s="193">
        <f t="shared" si="51"/>
        <v>0</v>
      </c>
      <c r="Y41" s="193">
        <f t="shared" si="51"/>
        <v>0</v>
      </c>
      <c r="Z41" s="193">
        <f t="shared" si="51"/>
        <v>0</v>
      </c>
      <c r="AA41" s="193">
        <f t="shared" si="51"/>
        <v>0</v>
      </c>
      <c r="AB41" s="193">
        <f t="shared" si="51"/>
        <v>0</v>
      </c>
      <c r="AC41" s="193">
        <f t="shared" si="51"/>
        <v>0</v>
      </c>
      <c r="AD41" s="193">
        <f t="shared" si="51"/>
        <v>0</v>
      </c>
      <c r="AE41" s="193">
        <f t="shared" si="51"/>
        <v>0</v>
      </c>
      <c r="AF41" s="193">
        <f t="shared" si="51"/>
        <v>0</v>
      </c>
      <c r="AG41" s="193">
        <f t="shared" si="51"/>
        <v>0</v>
      </c>
      <c r="AH41" s="193">
        <f t="shared" si="51"/>
        <v>0</v>
      </c>
      <c r="AI41" s="193">
        <f t="shared" si="51"/>
        <v>0</v>
      </c>
      <c r="AJ41" s="193">
        <f t="shared" si="51"/>
        <v>0</v>
      </c>
      <c r="AK41" s="193">
        <f t="shared" si="51"/>
        <v>0</v>
      </c>
      <c r="AL41" s="193">
        <f t="shared" si="51"/>
        <v>0</v>
      </c>
      <c r="AM41" s="193">
        <f t="shared" ref="AM41:BR41" si="52">AM40/$J5*$J$4</f>
        <v>0</v>
      </c>
      <c r="AN41" s="193">
        <f t="shared" si="52"/>
        <v>0</v>
      </c>
      <c r="AO41" s="193">
        <f t="shared" si="52"/>
        <v>0</v>
      </c>
      <c r="AP41" s="193">
        <f t="shared" si="52"/>
        <v>0</v>
      </c>
      <c r="AQ41" s="193">
        <f t="shared" si="52"/>
        <v>0</v>
      </c>
      <c r="AR41" s="193">
        <f t="shared" si="52"/>
        <v>0</v>
      </c>
      <c r="AS41" s="193">
        <f t="shared" si="52"/>
        <v>0</v>
      </c>
      <c r="AT41" s="193">
        <f t="shared" si="52"/>
        <v>0</v>
      </c>
      <c r="AU41" s="193">
        <f t="shared" si="52"/>
        <v>0</v>
      </c>
      <c r="AV41" s="193">
        <f t="shared" si="52"/>
        <v>0</v>
      </c>
      <c r="AW41" s="193">
        <f t="shared" si="52"/>
        <v>0</v>
      </c>
      <c r="AX41" s="193">
        <f t="shared" si="52"/>
        <v>0</v>
      </c>
      <c r="AY41" s="193">
        <f t="shared" si="52"/>
        <v>0</v>
      </c>
      <c r="AZ41" s="193">
        <f t="shared" si="52"/>
        <v>0</v>
      </c>
      <c r="BA41" s="193">
        <f t="shared" si="52"/>
        <v>0</v>
      </c>
      <c r="BB41" s="193">
        <f t="shared" si="52"/>
        <v>0</v>
      </c>
      <c r="BC41" s="193">
        <f t="shared" si="52"/>
        <v>0</v>
      </c>
      <c r="BD41" s="193">
        <f t="shared" si="52"/>
        <v>0</v>
      </c>
      <c r="BE41" s="193">
        <f t="shared" si="52"/>
        <v>0</v>
      </c>
      <c r="BF41" s="193">
        <f t="shared" si="52"/>
        <v>0</v>
      </c>
      <c r="BG41" s="193">
        <f t="shared" si="52"/>
        <v>0</v>
      </c>
      <c r="BH41" s="193">
        <f t="shared" si="52"/>
        <v>0</v>
      </c>
      <c r="BI41" s="193">
        <f t="shared" si="52"/>
        <v>0</v>
      </c>
      <c r="BJ41" s="193">
        <f t="shared" si="52"/>
        <v>0</v>
      </c>
      <c r="BK41" s="193">
        <f t="shared" si="52"/>
        <v>0</v>
      </c>
      <c r="BL41" s="193">
        <f t="shared" si="52"/>
        <v>0</v>
      </c>
      <c r="BM41" s="193">
        <f t="shared" si="52"/>
        <v>0</v>
      </c>
      <c r="BN41" s="193">
        <f t="shared" si="52"/>
        <v>0</v>
      </c>
      <c r="BO41" s="193">
        <f t="shared" si="52"/>
        <v>0</v>
      </c>
      <c r="BP41" s="193">
        <f t="shared" si="52"/>
        <v>0</v>
      </c>
      <c r="BQ41" s="193">
        <f t="shared" si="52"/>
        <v>0</v>
      </c>
      <c r="BR41" s="193">
        <f t="shared" si="52"/>
        <v>0</v>
      </c>
      <c r="BS41" s="193">
        <f t="shared" ref="BS41:CX41" si="53">BS40/$J5*$J$4</f>
        <v>0</v>
      </c>
      <c r="BT41" s="193">
        <f t="shared" si="53"/>
        <v>0</v>
      </c>
      <c r="BU41" s="193">
        <f t="shared" si="53"/>
        <v>0</v>
      </c>
      <c r="BV41" s="193">
        <f t="shared" si="53"/>
        <v>0</v>
      </c>
      <c r="BW41" s="193">
        <f t="shared" si="53"/>
        <v>0</v>
      </c>
      <c r="BX41" s="193">
        <f t="shared" si="53"/>
        <v>0</v>
      </c>
      <c r="BY41" s="193">
        <f t="shared" si="53"/>
        <v>0</v>
      </c>
      <c r="BZ41" s="193">
        <f t="shared" si="53"/>
        <v>0</v>
      </c>
      <c r="CA41" s="193">
        <f t="shared" si="53"/>
        <v>0</v>
      </c>
      <c r="CB41" s="193">
        <f t="shared" si="53"/>
        <v>0</v>
      </c>
      <c r="CC41" s="193">
        <f t="shared" si="53"/>
        <v>0</v>
      </c>
      <c r="CD41" s="193">
        <f t="shared" si="53"/>
        <v>0</v>
      </c>
      <c r="CE41" s="193">
        <f t="shared" si="53"/>
        <v>0</v>
      </c>
      <c r="CF41" s="193">
        <f t="shared" si="53"/>
        <v>0</v>
      </c>
      <c r="CG41" s="193">
        <f t="shared" si="53"/>
        <v>0</v>
      </c>
      <c r="CH41" s="193">
        <f t="shared" si="53"/>
        <v>0</v>
      </c>
      <c r="CI41" s="193">
        <f t="shared" si="53"/>
        <v>0</v>
      </c>
      <c r="CJ41" s="193">
        <f t="shared" si="53"/>
        <v>0</v>
      </c>
      <c r="CK41" s="193">
        <f t="shared" si="53"/>
        <v>0</v>
      </c>
      <c r="CL41" s="193">
        <f t="shared" si="53"/>
        <v>0</v>
      </c>
      <c r="CM41" s="193">
        <f t="shared" si="53"/>
        <v>0</v>
      </c>
      <c r="CN41" s="193">
        <f t="shared" si="53"/>
        <v>0</v>
      </c>
      <c r="CO41" s="193">
        <f t="shared" si="53"/>
        <v>0</v>
      </c>
      <c r="CP41" s="193">
        <f t="shared" si="53"/>
        <v>0</v>
      </c>
      <c r="CQ41" s="193">
        <f t="shared" si="53"/>
        <v>0</v>
      </c>
      <c r="CR41" s="193">
        <f t="shared" si="53"/>
        <v>0</v>
      </c>
      <c r="CS41" s="193">
        <f t="shared" si="53"/>
        <v>0</v>
      </c>
      <c r="CT41" s="193">
        <f t="shared" si="53"/>
        <v>0</v>
      </c>
      <c r="CU41" s="193">
        <f t="shared" si="53"/>
        <v>0</v>
      </c>
      <c r="CV41" s="193">
        <f t="shared" si="53"/>
        <v>0</v>
      </c>
      <c r="CW41" s="193">
        <f t="shared" si="53"/>
        <v>0</v>
      </c>
      <c r="CX41" s="193">
        <f t="shared" si="53"/>
        <v>0</v>
      </c>
      <c r="CY41" s="193">
        <f t="shared" ref="CY41:ED41" si="54">CY40/$J5*$J$4</f>
        <v>0</v>
      </c>
      <c r="CZ41" s="193">
        <f t="shared" si="54"/>
        <v>0</v>
      </c>
      <c r="DA41" s="193">
        <f t="shared" si="54"/>
        <v>0</v>
      </c>
      <c r="DB41" s="193">
        <f t="shared" si="54"/>
        <v>0</v>
      </c>
      <c r="DC41" s="193">
        <f t="shared" si="54"/>
        <v>0</v>
      </c>
      <c r="DD41" s="193">
        <f t="shared" si="54"/>
        <v>0</v>
      </c>
      <c r="DE41" s="193">
        <f t="shared" si="54"/>
        <v>0</v>
      </c>
      <c r="DF41" s="193">
        <f t="shared" si="54"/>
        <v>0</v>
      </c>
      <c r="DG41" s="193">
        <f t="shared" si="54"/>
        <v>0</v>
      </c>
      <c r="DH41" s="193">
        <f t="shared" si="54"/>
        <v>0</v>
      </c>
      <c r="DI41" s="193">
        <f t="shared" si="54"/>
        <v>0</v>
      </c>
      <c r="DJ41" s="193">
        <f t="shared" si="54"/>
        <v>0</v>
      </c>
      <c r="DK41" s="193">
        <f t="shared" si="54"/>
        <v>0</v>
      </c>
      <c r="DL41" s="193">
        <f t="shared" si="54"/>
        <v>0</v>
      </c>
      <c r="DM41" s="193">
        <f t="shared" si="54"/>
        <v>0</v>
      </c>
      <c r="DN41" s="193">
        <f t="shared" si="54"/>
        <v>0</v>
      </c>
      <c r="DO41" s="193">
        <f t="shared" si="54"/>
        <v>0</v>
      </c>
      <c r="DP41" s="193">
        <f t="shared" si="54"/>
        <v>0</v>
      </c>
      <c r="DQ41" s="193">
        <f t="shared" si="54"/>
        <v>0</v>
      </c>
      <c r="DR41" s="193">
        <f t="shared" si="54"/>
        <v>0</v>
      </c>
      <c r="DS41" s="193">
        <f t="shared" si="54"/>
        <v>0</v>
      </c>
      <c r="DT41" s="193">
        <f t="shared" si="54"/>
        <v>0</v>
      </c>
      <c r="DU41" s="193">
        <f t="shared" si="54"/>
        <v>0</v>
      </c>
      <c r="DV41" s="193">
        <f t="shared" si="54"/>
        <v>0</v>
      </c>
      <c r="DW41" s="193">
        <f t="shared" si="54"/>
        <v>0</v>
      </c>
      <c r="DX41" s="193">
        <f t="shared" si="54"/>
        <v>0</v>
      </c>
      <c r="DY41" s="193">
        <f t="shared" si="54"/>
        <v>0</v>
      </c>
      <c r="DZ41" s="193">
        <f t="shared" si="54"/>
        <v>0</v>
      </c>
      <c r="EA41" s="193">
        <f t="shared" si="54"/>
        <v>0</v>
      </c>
      <c r="EB41" s="193">
        <f t="shared" si="54"/>
        <v>0</v>
      </c>
      <c r="EC41" s="193">
        <f t="shared" si="54"/>
        <v>0</v>
      </c>
      <c r="ED41" s="193">
        <f t="shared" si="54"/>
        <v>0</v>
      </c>
      <c r="EE41" s="193">
        <f t="shared" ref="EE41:ET41" si="55">EE40/$J5*$J$4</f>
        <v>0</v>
      </c>
      <c r="EF41" s="193">
        <f t="shared" si="55"/>
        <v>0</v>
      </c>
      <c r="EG41" s="193">
        <f t="shared" si="55"/>
        <v>0</v>
      </c>
      <c r="EH41" s="193">
        <f t="shared" si="55"/>
        <v>0</v>
      </c>
      <c r="EI41" s="193">
        <f t="shared" si="55"/>
        <v>0</v>
      </c>
      <c r="EJ41" s="193">
        <f t="shared" si="55"/>
        <v>0</v>
      </c>
      <c r="EK41" s="193">
        <f t="shared" si="55"/>
        <v>0</v>
      </c>
      <c r="EL41" s="193">
        <f t="shared" si="55"/>
        <v>0</v>
      </c>
      <c r="EM41" s="193">
        <f t="shared" si="55"/>
        <v>0</v>
      </c>
      <c r="EN41" s="193">
        <f t="shared" si="55"/>
        <v>0</v>
      </c>
      <c r="EO41" s="193">
        <f t="shared" si="55"/>
        <v>0</v>
      </c>
      <c r="EP41" s="193">
        <f t="shared" si="55"/>
        <v>0</v>
      </c>
      <c r="EQ41" s="193">
        <f t="shared" si="55"/>
        <v>0</v>
      </c>
      <c r="ER41" s="193">
        <f t="shared" si="55"/>
        <v>0</v>
      </c>
      <c r="ES41" s="193">
        <f t="shared" si="55"/>
        <v>0</v>
      </c>
      <c r="ET41" s="193">
        <f t="shared" si="55"/>
        <v>0</v>
      </c>
      <c r="EV41" s="190" t="s">
        <v>82</v>
      </c>
    </row>
    <row r="42" spans="5:152" outlineLevel="1" x14ac:dyDescent="0.3">
      <c r="E42" t="s">
        <v>85</v>
      </c>
      <c r="G42" s="193">
        <f t="shared" ref="G42:BR42" si="56">SUM(G40:G41)</f>
        <v>0</v>
      </c>
      <c r="H42" s="193">
        <f t="shared" si="56"/>
        <v>0</v>
      </c>
      <c r="I42" s="193">
        <f t="shared" si="56"/>
        <v>0</v>
      </c>
      <c r="J42" s="193">
        <f t="shared" si="56"/>
        <v>0</v>
      </c>
      <c r="K42" s="193">
        <f t="shared" si="56"/>
        <v>0</v>
      </c>
      <c r="L42" s="193">
        <f t="shared" si="56"/>
        <v>0</v>
      </c>
      <c r="M42" s="193">
        <f t="shared" si="56"/>
        <v>0</v>
      </c>
      <c r="N42" s="193">
        <f t="shared" si="56"/>
        <v>0</v>
      </c>
      <c r="O42" s="193">
        <f t="shared" si="56"/>
        <v>0</v>
      </c>
      <c r="P42" s="193">
        <f t="shared" si="56"/>
        <v>0</v>
      </c>
      <c r="Q42" s="193">
        <f t="shared" si="56"/>
        <v>0</v>
      </c>
      <c r="R42" s="193">
        <f t="shared" si="56"/>
        <v>0</v>
      </c>
      <c r="S42" s="193">
        <f t="shared" si="56"/>
        <v>0</v>
      </c>
      <c r="T42" s="193">
        <f t="shared" si="56"/>
        <v>0</v>
      </c>
      <c r="U42" s="193">
        <f t="shared" si="56"/>
        <v>0</v>
      </c>
      <c r="V42" s="193">
        <f t="shared" si="56"/>
        <v>0</v>
      </c>
      <c r="W42" s="193">
        <f t="shared" si="56"/>
        <v>0</v>
      </c>
      <c r="X42" s="193">
        <f t="shared" si="56"/>
        <v>0</v>
      </c>
      <c r="Y42" s="193">
        <f t="shared" si="56"/>
        <v>0</v>
      </c>
      <c r="Z42" s="193">
        <f t="shared" si="56"/>
        <v>0</v>
      </c>
      <c r="AA42" s="193">
        <f t="shared" si="56"/>
        <v>0</v>
      </c>
      <c r="AB42" s="193">
        <f t="shared" si="56"/>
        <v>0</v>
      </c>
      <c r="AC42" s="193">
        <f t="shared" si="56"/>
        <v>0</v>
      </c>
      <c r="AD42" s="193">
        <f t="shared" si="56"/>
        <v>0</v>
      </c>
      <c r="AE42" s="193">
        <f t="shared" si="56"/>
        <v>0</v>
      </c>
      <c r="AF42" s="193">
        <f t="shared" si="56"/>
        <v>0</v>
      </c>
      <c r="AG42" s="193">
        <f t="shared" si="56"/>
        <v>0</v>
      </c>
      <c r="AH42" s="193">
        <f t="shared" si="56"/>
        <v>0</v>
      </c>
      <c r="AI42" s="193">
        <f t="shared" si="56"/>
        <v>0</v>
      </c>
      <c r="AJ42" s="193">
        <f t="shared" si="56"/>
        <v>0</v>
      </c>
      <c r="AK42" s="193">
        <f t="shared" si="56"/>
        <v>0</v>
      </c>
      <c r="AL42" s="193">
        <f t="shared" si="56"/>
        <v>0</v>
      </c>
      <c r="AM42" s="193">
        <f t="shared" si="56"/>
        <v>0</v>
      </c>
      <c r="AN42" s="193">
        <f t="shared" si="56"/>
        <v>0</v>
      </c>
      <c r="AO42" s="193">
        <f t="shared" si="56"/>
        <v>0</v>
      </c>
      <c r="AP42" s="193">
        <f t="shared" si="56"/>
        <v>0</v>
      </c>
      <c r="AQ42" s="193">
        <f t="shared" si="56"/>
        <v>0</v>
      </c>
      <c r="AR42" s="193">
        <f t="shared" si="56"/>
        <v>0</v>
      </c>
      <c r="AS42" s="193">
        <f t="shared" si="56"/>
        <v>0</v>
      </c>
      <c r="AT42" s="193">
        <f t="shared" si="56"/>
        <v>0</v>
      </c>
      <c r="AU42" s="193">
        <f t="shared" si="56"/>
        <v>0</v>
      </c>
      <c r="AV42" s="193">
        <f t="shared" si="56"/>
        <v>0</v>
      </c>
      <c r="AW42" s="193">
        <f t="shared" si="56"/>
        <v>0</v>
      </c>
      <c r="AX42" s="193">
        <f t="shared" si="56"/>
        <v>0</v>
      </c>
      <c r="AY42" s="193">
        <f t="shared" si="56"/>
        <v>0</v>
      </c>
      <c r="AZ42" s="193">
        <f t="shared" si="56"/>
        <v>0</v>
      </c>
      <c r="BA42" s="193">
        <f t="shared" si="56"/>
        <v>0</v>
      </c>
      <c r="BB42" s="193">
        <f t="shared" si="56"/>
        <v>0</v>
      </c>
      <c r="BC42" s="193">
        <f t="shared" si="56"/>
        <v>0</v>
      </c>
      <c r="BD42" s="193">
        <f t="shared" si="56"/>
        <v>0</v>
      </c>
      <c r="BE42" s="193">
        <f t="shared" si="56"/>
        <v>0</v>
      </c>
      <c r="BF42" s="193">
        <f t="shared" si="56"/>
        <v>0</v>
      </c>
      <c r="BG42" s="193">
        <f t="shared" si="56"/>
        <v>0</v>
      </c>
      <c r="BH42" s="193">
        <f t="shared" si="56"/>
        <v>0</v>
      </c>
      <c r="BI42" s="193">
        <f t="shared" si="56"/>
        <v>0</v>
      </c>
      <c r="BJ42" s="193">
        <f t="shared" si="56"/>
        <v>0</v>
      </c>
      <c r="BK42" s="193">
        <f t="shared" si="56"/>
        <v>0</v>
      </c>
      <c r="BL42" s="193">
        <f t="shared" si="56"/>
        <v>0</v>
      </c>
      <c r="BM42" s="193">
        <f t="shared" si="56"/>
        <v>0</v>
      </c>
      <c r="BN42" s="193">
        <f t="shared" si="56"/>
        <v>0</v>
      </c>
      <c r="BO42" s="193">
        <f t="shared" si="56"/>
        <v>0</v>
      </c>
      <c r="BP42" s="193">
        <f t="shared" si="56"/>
        <v>0</v>
      </c>
      <c r="BQ42" s="193">
        <f t="shared" si="56"/>
        <v>0</v>
      </c>
      <c r="BR42" s="193">
        <f t="shared" si="56"/>
        <v>0</v>
      </c>
      <c r="BS42" s="193">
        <f t="shared" ref="BS42:ED42" si="57">SUM(BS40:BS41)</f>
        <v>0</v>
      </c>
      <c r="BT42" s="193">
        <f t="shared" si="57"/>
        <v>0</v>
      </c>
      <c r="BU42" s="193">
        <f t="shared" si="57"/>
        <v>0</v>
      </c>
      <c r="BV42" s="193">
        <f t="shared" si="57"/>
        <v>0</v>
      </c>
      <c r="BW42" s="193">
        <f t="shared" si="57"/>
        <v>0</v>
      </c>
      <c r="BX42" s="193">
        <f t="shared" si="57"/>
        <v>0</v>
      </c>
      <c r="BY42" s="193">
        <f t="shared" si="57"/>
        <v>0</v>
      </c>
      <c r="BZ42" s="193">
        <f t="shared" si="57"/>
        <v>0</v>
      </c>
      <c r="CA42" s="193">
        <f t="shared" si="57"/>
        <v>0</v>
      </c>
      <c r="CB42" s="193">
        <f t="shared" si="57"/>
        <v>0</v>
      </c>
      <c r="CC42" s="193">
        <f t="shared" si="57"/>
        <v>0</v>
      </c>
      <c r="CD42" s="193">
        <f t="shared" si="57"/>
        <v>0</v>
      </c>
      <c r="CE42" s="193">
        <f t="shared" si="57"/>
        <v>0</v>
      </c>
      <c r="CF42" s="193">
        <f t="shared" si="57"/>
        <v>0</v>
      </c>
      <c r="CG42" s="193">
        <f t="shared" si="57"/>
        <v>0</v>
      </c>
      <c r="CH42" s="193">
        <f t="shared" si="57"/>
        <v>0</v>
      </c>
      <c r="CI42" s="193">
        <f t="shared" si="57"/>
        <v>0</v>
      </c>
      <c r="CJ42" s="193">
        <f t="shared" si="57"/>
        <v>0</v>
      </c>
      <c r="CK42" s="193">
        <f t="shared" si="57"/>
        <v>0</v>
      </c>
      <c r="CL42" s="193">
        <f t="shared" si="57"/>
        <v>0</v>
      </c>
      <c r="CM42" s="193">
        <f t="shared" si="57"/>
        <v>0</v>
      </c>
      <c r="CN42" s="193">
        <f t="shared" si="57"/>
        <v>0</v>
      </c>
      <c r="CO42" s="193">
        <f t="shared" si="57"/>
        <v>0</v>
      </c>
      <c r="CP42" s="193">
        <f t="shared" si="57"/>
        <v>0</v>
      </c>
      <c r="CQ42" s="193">
        <f t="shared" si="57"/>
        <v>0</v>
      </c>
      <c r="CR42" s="193">
        <f t="shared" si="57"/>
        <v>0</v>
      </c>
      <c r="CS42" s="193">
        <f t="shared" si="57"/>
        <v>0</v>
      </c>
      <c r="CT42" s="193">
        <f t="shared" si="57"/>
        <v>0</v>
      </c>
      <c r="CU42" s="193">
        <f t="shared" si="57"/>
        <v>0</v>
      </c>
      <c r="CV42" s="193">
        <f t="shared" si="57"/>
        <v>0</v>
      </c>
      <c r="CW42" s="193">
        <f t="shared" si="57"/>
        <v>0</v>
      </c>
      <c r="CX42" s="193">
        <f t="shared" si="57"/>
        <v>0</v>
      </c>
      <c r="CY42" s="193">
        <f t="shared" si="57"/>
        <v>0</v>
      </c>
      <c r="CZ42" s="193">
        <f t="shared" si="57"/>
        <v>0</v>
      </c>
      <c r="DA42" s="193">
        <f t="shared" si="57"/>
        <v>0</v>
      </c>
      <c r="DB42" s="193">
        <f t="shared" si="57"/>
        <v>0</v>
      </c>
      <c r="DC42" s="193">
        <f t="shared" si="57"/>
        <v>0</v>
      </c>
      <c r="DD42" s="193">
        <f t="shared" si="57"/>
        <v>0</v>
      </c>
      <c r="DE42" s="193">
        <f t="shared" si="57"/>
        <v>0</v>
      </c>
      <c r="DF42" s="193">
        <f t="shared" si="57"/>
        <v>0</v>
      </c>
      <c r="DG42" s="193">
        <f t="shared" si="57"/>
        <v>0</v>
      </c>
      <c r="DH42" s="193">
        <f t="shared" si="57"/>
        <v>0</v>
      </c>
      <c r="DI42" s="193">
        <f t="shared" si="57"/>
        <v>0</v>
      </c>
      <c r="DJ42" s="193">
        <f t="shared" si="57"/>
        <v>0</v>
      </c>
      <c r="DK42" s="193">
        <f t="shared" si="57"/>
        <v>0</v>
      </c>
      <c r="DL42" s="193">
        <f t="shared" si="57"/>
        <v>0</v>
      </c>
      <c r="DM42" s="193">
        <f t="shared" si="57"/>
        <v>0</v>
      </c>
      <c r="DN42" s="193">
        <f t="shared" si="57"/>
        <v>0</v>
      </c>
      <c r="DO42" s="193">
        <f t="shared" si="57"/>
        <v>0</v>
      </c>
      <c r="DP42" s="193">
        <f t="shared" si="57"/>
        <v>0</v>
      </c>
      <c r="DQ42" s="193">
        <f t="shared" si="57"/>
        <v>0</v>
      </c>
      <c r="DR42" s="193">
        <f t="shared" si="57"/>
        <v>0</v>
      </c>
      <c r="DS42" s="193">
        <f t="shared" si="57"/>
        <v>0</v>
      </c>
      <c r="DT42" s="193">
        <f t="shared" si="57"/>
        <v>0</v>
      </c>
      <c r="DU42" s="193">
        <f t="shared" si="57"/>
        <v>0</v>
      </c>
      <c r="DV42" s="193">
        <f t="shared" si="57"/>
        <v>0</v>
      </c>
      <c r="DW42" s="193">
        <f t="shared" si="57"/>
        <v>0</v>
      </c>
      <c r="DX42" s="193">
        <f t="shared" si="57"/>
        <v>0</v>
      </c>
      <c r="DY42" s="193">
        <f t="shared" si="57"/>
        <v>0</v>
      </c>
      <c r="DZ42" s="193">
        <f t="shared" si="57"/>
        <v>0</v>
      </c>
      <c r="EA42" s="193">
        <f t="shared" si="57"/>
        <v>0</v>
      </c>
      <c r="EB42" s="193">
        <f t="shared" si="57"/>
        <v>0</v>
      </c>
      <c r="EC42" s="193">
        <f t="shared" si="57"/>
        <v>0</v>
      </c>
      <c r="ED42" s="193">
        <f t="shared" si="57"/>
        <v>0</v>
      </c>
      <c r="EE42" s="193">
        <f t="shared" ref="EE42:ET42" si="58">SUM(EE40:EE41)</f>
        <v>0</v>
      </c>
      <c r="EF42" s="193">
        <f t="shared" si="58"/>
        <v>0</v>
      </c>
      <c r="EG42" s="193">
        <f t="shared" si="58"/>
        <v>0</v>
      </c>
      <c r="EH42" s="193">
        <f t="shared" si="58"/>
        <v>0</v>
      </c>
      <c r="EI42" s="193">
        <f t="shared" si="58"/>
        <v>0</v>
      </c>
      <c r="EJ42" s="193">
        <f t="shared" si="58"/>
        <v>0</v>
      </c>
      <c r="EK42" s="193">
        <f t="shared" si="58"/>
        <v>0</v>
      </c>
      <c r="EL42" s="193">
        <f t="shared" si="58"/>
        <v>0</v>
      </c>
      <c r="EM42" s="193">
        <f t="shared" si="58"/>
        <v>0</v>
      </c>
      <c r="EN42" s="193">
        <f t="shared" si="58"/>
        <v>0</v>
      </c>
      <c r="EO42" s="193">
        <f t="shared" si="58"/>
        <v>0</v>
      </c>
      <c r="EP42" s="193">
        <f t="shared" si="58"/>
        <v>0</v>
      </c>
      <c r="EQ42" s="193">
        <f t="shared" si="58"/>
        <v>0</v>
      </c>
      <c r="ER42" s="193">
        <f t="shared" si="58"/>
        <v>0</v>
      </c>
      <c r="ES42" s="193">
        <f t="shared" si="58"/>
        <v>0</v>
      </c>
      <c r="ET42" s="193">
        <f t="shared" si="58"/>
        <v>0</v>
      </c>
      <c r="EV42" s="190" t="s">
        <v>82</v>
      </c>
    </row>
    <row r="43" spans="5:152" outlineLevel="1" x14ac:dyDescent="0.3">
      <c r="EV43" s="190" t="s">
        <v>82</v>
      </c>
    </row>
    <row r="44" spans="5:152" outlineLevel="1" x14ac:dyDescent="0.3">
      <c r="E44" t="s">
        <v>87</v>
      </c>
      <c r="G44" s="193">
        <f t="shared" ref="G44:BR44" si="59">G36-G42</f>
        <v>0</v>
      </c>
      <c r="H44" s="193">
        <f t="shared" si="59"/>
        <v>0</v>
      </c>
      <c r="I44" s="193">
        <f t="shared" si="59"/>
        <v>0</v>
      </c>
      <c r="J44" s="193">
        <f t="shared" si="59"/>
        <v>0</v>
      </c>
      <c r="K44" s="193">
        <f t="shared" si="59"/>
        <v>0</v>
      </c>
      <c r="L44" s="193">
        <f t="shared" si="59"/>
        <v>0</v>
      </c>
      <c r="M44" s="193">
        <f t="shared" si="59"/>
        <v>0</v>
      </c>
      <c r="N44" s="193">
        <f t="shared" si="59"/>
        <v>0</v>
      </c>
      <c r="O44" s="193">
        <f t="shared" si="59"/>
        <v>0</v>
      </c>
      <c r="P44" s="193">
        <f t="shared" si="59"/>
        <v>0</v>
      </c>
      <c r="Q44" s="193">
        <f t="shared" si="59"/>
        <v>0</v>
      </c>
      <c r="R44" s="193">
        <f t="shared" si="59"/>
        <v>0</v>
      </c>
      <c r="S44" s="193">
        <f t="shared" si="59"/>
        <v>0</v>
      </c>
      <c r="T44" s="193">
        <f t="shared" si="59"/>
        <v>0</v>
      </c>
      <c r="U44" s="193">
        <f t="shared" si="59"/>
        <v>0</v>
      </c>
      <c r="V44" s="193">
        <f t="shared" si="59"/>
        <v>0</v>
      </c>
      <c r="W44" s="193">
        <f t="shared" si="59"/>
        <v>0</v>
      </c>
      <c r="X44" s="193">
        <f t="shared" si="59"/>
        <v>0</v>
      </c>
      <c r="Y44" s="193">
        <f t="shared" si="59"/>
        <v>0</v>
      </c>
      <c r="Z44" s="193">
        <f t="shared" si="59"/>
        <v>0</v>
      </c>
      <c r="AA44" s="193">
        <f t="shared" si="59"/>
        <v>0</v>
      </c>
      <c r="AB44" s="193">
        <f t="shared" si="59"/>
        <v>0</v>
      </c>
      <c r="AC44" s="193">
        <f t="shared" si="59"/>
        <v>0</v>
      </c>
      <c r="AD44" s="193">
        <f t="shared" si="59"/>
        <v>0</v>
      </c>
      <c r="AE44" s="193">
        <f t="shared" si="59"/>
        <v>0</v>
      </c>
      <c r="AF44" s="193">
        <f t="shared" si="59"/>
        <v>0</v>
      </c>
      <c r="AG44" s="193">
        <f t="shared" si="59"/>
        <v>0</v>
      </c>
      <c r="AH44" s="193">
        <f t="shared" si="59"/>
        <v>0</v>
      </c>
      <c r="AI44" s="193">
        <f t="shared" si="59"/>
        <v>0</v>
      </c>
      <c r="AJ44" s="193">
        <f t="shared" si="59"/>
        <v>0</v>
      </c>
      <c r="AK44" s="193">
        <f t="shared" si="59"/>
        <v>0</v>
      </c>
      <c r="AL44" s="193">
        <f t="shared" si="59"/>
        <v>0</v>
      </c>
      <c r="AM44" s="193">
        <f t="shared" si="59"/>
        <v>0</v>
      </c>
      <c r="AN44" s="193">
        <f t="shared" si="59"/>
        <v>0</v>
      </c>
      <c r="AO44" s="193">
        <f t="shared" si="59"/>
        <v>0</v>
      </c>
      <c r="AP44" s="193">
        <f t="shared" si="59"/>
        <v>0</v>
      </c>
      <c r="AQ44" s="193">
        <f t="shared" si="59"/>
        <v>0</v>
      </c>
      <c r="AR44" s="193">
        <f t="shared" si="59"/>
        <v>0</v>
      </c>
      <c r="AS44" s="193">
        <f t="shared" si="59"/>
        <v>0</v>
      </c>
      <c r="AT44" s="193">
        <f t="shared" si="59"/>
        <v>0</v>
      </c>
      <c r="AU44" s="193">
        <f t="shared" si="59"/>
        <v>0</v>
      </c>
      <c r="AV44" s="193">
        <f t="shared" si="59"/>
        <v>0</v>
      </c>
      <c r="AW44" s="193">
        <f t="shared" si="59"/>
        <v>0</v>
      </c>
      <c r="AX44" s="193">
        <f t="shared" si="59"/>
        <v>0</v>
      </c>
      <c r="AY44" s="193">
        <f t="shared" si="59"/>
        <v>0</v>
      </c>
      <c r="AZ44" s="193">
        <f t="shared" si="59"/>
        <v>0</v>
      </c>
      <c r="BA44" s="193">
        <f t="shared" si="59"/>
        <v>0</v>
      </c>
      <c r="BB44" s="193">
        <f t="shared" si="59"/>
        <v>0</v>
      </c>
      <c r="BC44" s="193">
        <f t="shared" si="59"/>
        <v>0</v>
      </c>
      <c r="BD44" s="193">
        <f t="shared" si="59"/>
        <v>0</v>
      </c>
      <c r="BE44" s="193">
        <f t="shared" si="59"/>
        <v>0</v>
      </c>
      <c r="BF44" s="193">
        <f t="shared" si="59"/>
        <v>0</v>
      </c>
      <c r="BG44" s="193">
        <f t="shared" si="59"/>
        <v>0</v>
      </c>
      <c r="BH44" s="193">
        <f t="shared" si="59"/>
        <v>0</v>
      </c>
      <c r="BI44" s="193">
        <f t="shared" si="59"/>
        <v>0</v>
      </c>
      <c r="BJ44" s="193">
        <f t="shared" si="59"/>
        <v>0</v>
      </c>
      <c r="BK44" s="193">
        <f t="shared" si="59"/>
        <v>0</v>
      </c>
      <c r="BL44" s="193">
        <f t="shared" si="59"/>
        <v>0</v>
      </c>
      <c r="BM44" s="193">
        <f t="shared" si="59"/>
        <v>0</v>
      </c>
      <c r="BN44" s="193">
        <f t="shared" si="59"/>
        <v>0</v>
      </c>
      <c r="BO44" s="193">
        <f t="shared" si="59"/>
        <v>0</v>
      </c>
      <c r="BP44" s="193">
        <f t="shared" si="59"/>
        <v>0</v>
      </c>
      <c r="BQ44" s="193">
        <f t="shared" si="59"/>
        <v>0</v>
      </c>
      <c r="BR44" s="193">
        <f t="shared" si="59"/>
        <v>0</v>
      </c>
      <c r="BS44" s="193">
        <f t="shared" ref="BS44:ED44" si="60">BS36-BS42</f>
        <v>0</v>
      </c>
      <c r="BT44" s="193">
        <f t="shared" si="60"/>
        <v>0</v>
      </c>
      <c r="BU44" s="193">
        <f t="shared" si="60"/>
        <v>0</v>
      </c>
      <c r="BV44" s="193">
        <f t="shared" si="60"/>
        <v>0</v>
      </c>
      <c r="BW44" s="193">
        <f t="shared" si="60"/>
        <v>0</v>
      </c>
      <c r="BX44" s="193">
        <f t="shared" si="60"/>
        <v>0</v>
      </c>
      <c r="BY44" s="193">
        <f t="shared" si="60"/>
        <v>0</v>
      </c>
      <c r="BZ44" s="193">
        <f t="shared" si="60"/>
        <v>0</v>
      </c>
      <c r="CA44" s="193">
        <f t="shared" si="60"/>
        <v>0</v>
      </c>
      <c r="CB44" s="193">
        <f t="shared" si="60"/>
        <v>0</v>
      </c>
      <c r="CC44" s="193">
        <f t="shared" si="60"/>
        <v>0</v>
      </c>
      <c r="CD44" s="193">
        <f t="shared" si="60"/>
        <v>0</v>
      </c>
      <c r="CE44" s="193">
        <f t="shared" si="60"/>
        <v>0</v>
      </c>
      <c r="CF44" s="193">
        <f t="shared" si="60"/>
        <v>0</v>
      </c>
      <c r="CG44" s="193">
        <f t="shared" si="60"/>
        <v>0</v>
      </c>
      <c r="CH44" s="193">
        <f t="shared" si="60"/>
        <v>0</v>
      </c>
      <c r="CI44" s="193">
        <f t="shared" si="60"/>
        <v>0</v>
      </c>
      <c r="CJ44" s="193">
        <f t="shared" si="60"/>
        <v>0</v>
      </c>
      <c r="CK44" s="193">
        <f t="shared" si="60"/>
        <v>0</v>
      </c>
      <c r="CL44" s="193">
        <f t="shared" si="60"/>
        <v>0</v>
      </c>
      <c r="CM44" s="193">
        <f t="shared" si="60"/>
        <v>0</v>
      </c>
      <c r="CN44" s="193">
        <f t="shared" si="60"/>
        <v>0</v>
      </c>
      <c r="CO44" s="193">
        <f t="shared" si="60"/>
        <v>0</v>
      </c>
      <c r="CP44" s="193">
        <f t="shared" si="60"/>
        <v>0</v>
      </c>
      <c r="CQ44" s="193">
        <f t="shared" si="60"/>
        <v>0</v>
      </c>
      <c r="CR44" s="193">
        <f t="shared" si="60"/>
        <v>0</v>
      </c>
      <c r="CS44" s="193">
        <f t="shared" si="60"/>
        <v>0</v>
      </c>
      <c r="CT44" s="193">
        <f t="shared" si="60"/>
        <v>0</v>
      </c>
      <c r="CU44" s="193">
        <f t="shared" si="60"/>
        <v>0</v>
      </c>
      <c r="CV44" s="193">
        <f t="shared" si="60"/>
        <v>0</v>
      </c>
      <c r="CW44" s="193">
        <f t="shared" si="60"/>
        <v>0</v>
      </c>
      <c r="CX44" s="193">
        <f t="shared" si="60"/>
        <v>0</v>
      </c>
      <c r="CY44" s="193">
        <f t="shared" si="60"/>
        <v>0</v>
      </c>
      <c r="CZ44" s="193">
        <f t="shared" si="60"/>
        <v>0</v>
      </c>
      <c r="DA44" s="193">
        <f t="shared" si="60"/>
        <v>0</v>
      </c>
      <c r="DB44" s="193">
        <f t="shared" si="60"/>
        <v>0</v>
      </c>
      <c r="DC44" s="193">
        <f t="shared" si="60"/>
        <v>0</v>
      </c>
      <c r="DD44" s="193">
        <f t="shared" si="60"/>
        <v>0</v>
      </c>
      <c r="DE44" s="193">
        <f t="shared" si="60"/>
        <v>0</v>
      </c>
      <c r="DF44" s="193">
        <f t="shared" si="60"/>
        <v>0</v>
      </c>
      <c r="DG44" s="193">
        <f t="shared" si="60"/>
        <v>0</v>
      </c>
      <c r="DH44" s="193">
        <f t="shared" si="60"/>
        <v>0</v>
      </c>
      <c r="DI44" s="193">
        <f t="shared" si="60"/>
        <v>0</v>
      </c>
      <c r="DJ44" s="193">
        <f t="shared" si="60"/>
        <v>0</v>
      </c>
      <c r="DK44" s="193">
        <f t="shared" si="60"/>
        <v>0</v>
      </c>
      <c r="DL44" s="193">
        <f t="shared" si="60"/>
        <v>0</v>
      </c>
      <c r="DM44" s="193">
        <f t="shared" si="60"/>
        <v>0</v>
      </c>
      <c r="DN44" s="193">
        <f t="shared" si="60"/>
        <v>0</v>
      </c>
      <c r="DO44" s="193">
        <f t="shared" si="60"/>
        <v>0</v>
      </c>
      <c r="DP44" s="193">
        <f t="shared" si="60"/>
        <v>0</v>
      </c>
      <c r="DQ44" s="193">
        <f t="shared" si="60"/>
        <v>0</v>
      </c>
      <c r="DR44" s="193">
        <f t="shared" si="60"/>
        <v>0</v>
      </c>
      <c r="DS44" s="193">
        <f t="shared" si="60"/>
        <v>0</v>
      </c>
      <c r="DT44" s="193">
        <f t="shared" si="60"/>
        <v>0</v>
      </c>
      <c r="DU44" s="193">
        <f t="shared" si="60"/>
        <v>0</v>
      </c>
      <c r="DV44" s="193">
        <f t="shared" si="60"/>
        <v>0</v>
      </c>
      <c r="DW44" s="193">
        <f t="shared" si="60"/>
        <v>0</v>
      </c>
      <c r="DX44" s="193">
        <f t="shared" si="60"/>
        <v>0</v>
      </c>
      <c r="DY44" s="193">
        <f t="shared" si="60"/>
        <v>0</v>
      </c>
      <c r="DZ44" s="193">
        <f t="shared" si="60"/>
        <v>0</v>
      </c>
      <c r="EA44" s="193">
        <f t="shared" si="60"/>
        <v>0</v>
      </c>
      <c r="EB44" s="193">
        <f t="shared" si="60"/>
        <v>0</v>
      </c>
      <c r="EC44" s="193">
        <f t="shared" si="60"/>
        <v>0</v>
      </c>
      <c r="ED44" s="193">
        <f t="shared" si="60"/>
        <v>0</v>
      </c>
      <c r="EE44" s="193">
        <f t="shared" ref="EE44:ET44" si="61">EE36-EE42</f>
        <v>0</v>
      </c>
      <c r="EF44" s="193">
        <f t="shared" si="61"/>
        <v>0</v>
      </c>
      <c r="EG44" s="193">
        <f t="shared" si="61"/>
        <v>0</v>
      </c>
      <c r="EH44" s="193">
        <f t="shared" si="61"/>
        <v>0</v>
      </c>
      <c r="EI44" s="193">
        <f t="shared" si="61"/>
        <v>0</v>
      </c>
      <c r="EJ44" s="193">
        <f t="shared" si="61"/>
        <v>0</v>
      </c>
      <c r="EK44" s="193">
        <f t="shared" si="61"/>
        <v>0</v>
      </c>
      <c r="EL44" s="193">
        <f t="shared" si="61"/>
        <v>0</v>
      </c>
      <c r="EM44" s="193">
        <f t="shared" si="61"/>
        <v>0</v>
      </c>
      <c r="EN44" s="193">
        <f t="shared" si="61"/>
        <v>0</v>
      </c>
      <c r="EO44" s="193">
        <f t="shared" si="61"/>
        <v>0</v>
      </c>
      <c r="EP44" s="193">
        <f t="shared" si="61"/>
        <v>0</v>
      </c>
      <c r="EQ44" s="193">
        <f t="shared" si="61"/>
        <v>0</v>
      </c>
      <c r="ER44" s="193">
        <f t="shared" si="61"/>
        <v>0</v>
      </c>
      <c r="ES44" s="193">
        <f t="shared" si="61"/>
        <v>0</v>
      </c>
      <c r="ET44" s="193">
        <f t="shared" si="61"/>
        <v>0</v>
      </c>
      <c r="EV44" s="190" t="s">
        <v>82</v>
      </c>
    </row>
    <row r="45" spans="5:152" x14ac:dyDescent="0.3">
      <c r="G45" s="193"/>
      <c r="H45" s="193"/>
      <c r="I45" s="193"/>
      <c r="J45" s="193"/>
      <c r="K45" s="193"/>
      <c r="L45" s="193"/>
      <c r="M45" s="193"/>
      <c r="N45" s="193"/>
      <c r="O45" s="193"/>
      <c r="P45" s="193"/>
      <c r="Q45" s="193"/>
      <c r="R45" s="193"/>
      <c r="S45" s="193"/>
      <c r="T45" s="193"/>
      <c r="U45" s="193"/>
      <c r="V45" s="193"/>
      <c r="W45" s="193"/>
      <c r="X45" s="193"/>
      <c r="Y45" s="193"/>
      <c r="Z45" s="193"/>
      <c r="AA45" s="193"/>
      <c r="AB45" s="193"/>
      <c r="AC45" s="193"/>
      <c r="AD45" s="193"/>
      <c r="AE45" s="193"/>
      <c r="AF45" s="193"/>
      <c r="AG45" s="193"/>
      <c r="AH45" s="193"/>
      <c r="AI45" s="193"/>
      <c r="AJ45" s="193"/>
      <c r="AK45" s="193"/>
      <c r="AL45" s="193"/>
      <c r="AM45" s="193"/>
      <c r="AN45" s="193"/>
      <c r="AO45" s="193"/>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c r="BL45" s="193"/>
      <c r="BM45" s="193"/>
      <c r="BN45" s="193"/>
      <c r="BO45" s="193"/>
      <c r="BP45" s="193"/>
      <c r="BQ45" s="193"/>
      <c r="BR45" s="193"/>
      <c r="BS45" s="193"/>
      <c r="BT45" s="193"/>
      <c r="BU45" s="193"/>
      <c r="BV45" s="193"/>
      <c r="BW45" s="193"/>
      <c r="BX45" s="193"/>
      <c r="BY45" s="193"/>
      <c r="BZ45" s="193"/>
      <c r="CA45" s="193"/>
      <c r="CB45" s="193"/>
      <c r="CC45" s="193"/>
      <c r="CD45" s="193"/>
      <c r="CE45" s="193"/>
      <c r="CF45" s="193"/>
      <c r="CG45" s="193"/>
      <c r="CH45" s="193"/>
      <c r="CI45" s="193"/>
      <c r="CJ45" s="193"/>
      <c r="CK45" s="193"/>
      <c r="CL45" s="193"/>
      <c r="CM45" s="193"/>
      <c r="CN45" s="193"/>
      <c r="CO45" s="193"/>
      <c r="CP45" s="193"/>
      <c r="CQ45" s="193"/>
      <c r="CR45" s="193"/>
      <c r="CS45" s="193"/>
      <c r="CT45" s="193"/>
      <c r="CU45" s="193"/>
      <c r="CV45" s="193"/>
      <c r="CW45" s="193"/>
      <c r="CX45" s="193"/>
      <c r="CY45" s="193"/>
      <c r="CZ45" s="193"/>
      <c r="DA45" s="193"/>
      <c r="DB45" s="193"/>
      <c r="DC45" s="193"/>
      <c r="DD45" s="193"/>
      <c r="DE45" s="193"/>
      <c r="DF45" s="193"/>
      <c r="DG45" s="193"/>
      <c r="DH45" s="193"/>
      <c r="DI45" s="193"/>
      <c r="DJ45" s="193"/>
      <c r="DK45" s="193"/>
      <c r="DL45" s="193"/>
      <c r="DM45" s="193"/>
      <c r="DN45" s="193"/>
      <c r="DO45" s="193"/>
      <c r="DP45" s="193"/>
      <c r="DQ45" s="193"/>
      <c r="DR45" s="193"/>
      <c r="DS45" s="193"/>
      <c r="DT45" s="193"/>
      <c r="DU45" s="193"/>
      <c r="DV45" s="193"/>
      <c r="DW45" s="193"/>
      <c r="DX45" s="193"/>
      <c r="DY45" s="193"/>
      <c r="DZ45" s="193"/>
      <c r="EA45" s="193"/>
      <c r="EB45" s="193"/>
      <c r="EC45" s="193"/>
      <c r="ED45" s="193"/>
      <c r="EE45" s="193"/>
      <c r="EF45" s="193"/>
      <c r="EG45" s="193"/>
      <c r="EH45" s="193"/>
      <c r="EI45" s="193"/>
      <c r="EJ45" s="193"/>
      <c r="EK45" s="193"/>
      <c r="EL45" s="193"/>
      <c r="EM45" s="193"/>
      <c r="EN45" s="193"/>
      <c r="EO45" s="193"/>
      <c r="EP45" s="193"/>
      <c r="EQ45" s="193"/>
      <c r="ER45" s="193"/>
      <c r="ES45" s="193"/>
      <c r="ET45" s="193"/>
      <c r="EV45" s="190" t="s">
        <v>82</v>
      </c>
    </row>
    <row r="46" spans="5:152" x14ac:dyDescent="0.3">
      <c r="G46" s="193"/>
      <c r="H46" s="193"/>
      <c r="I46" s="193"/>
      <c r="J46" s="193"/>
      <c r="K46" s="193"/>
      <c r="L46" s="193"/>
      <c r="M46" s="193"/>
      <c r="N46" s="193"/>
      <c r="O46" s="193"/>
      <c r="P46" s="193"/>
      <c r="Q46" s="193"/>
      <c r="R46" s="193"/>
      <c r="S46" s="193"/>
      <c r="T46" s="193"/>
      <c r="U46" s="193"/>
      <c r="V46" s="193"/>
      <c r="W46" s="193"/>
      <c r="X46" s="193"/>
      <c r="Y46" s="193"/>
      <c r="Z46" s="193"/>
      <c r="AA46" s="193"/>
      <c r="AB46" s="193"/>
      <c r="AC46" s="193"/>
      <c r="AD46" s="193"/>
      <c r="AE46" s="193"/>
      <c r="AF46" s="193"/>
      <c r="AG46" s="193"/>
      <c r="AH46" s="193"/>
      <c r="AI46" s="193"/>
      <c r="AJ46" s="193"/>
      <c r="AK46" s="193"/>
      <c r="AL46" s="193"/>
      <c r="AM46" s="193"/>
      <c r="AN46" s="193"/>
      <c r="AO46" s="193"/>
      <c r="AP46" s="193"/>
      <c r="AQ46" s="193"/>
      <c r="AR46" s="193"/>
      <c r="AS46" s="193"/>
      <c r="AT46" s="193"/>
      <c r="AU46" s="193"/>
      <c r="AV46" s="193"/>
      <c r="AW46" s="193"/>
      <c r="AX46" s="193"/>
      <c r="AY46" s="193"/>
      <c r="AZ46" s="193"/>
      <c r="BA46" s="193"/>
      <c r="BB46" s="193"/>
      <c r="BC46" s="193"/>
      <c r="BD46" s="193"/>
      <c r="BE46" s="193"/>
      <c r="BF46" s="193"/>
      <c r="BG46" s="193"/>
      <c r="BH46" s="193"/>
      <c r="BI46" s="193"/>
      <c r="BJ46" s="193"/>
      <c r="BK46" s="193"/>
      <c r="BL46" s="193"/>
      <c r="BM46" s="193"/>
      <c r="BN46" s="193"/>
      <c r="BO46" s="193"/>
      <c r="BP46" s="193"/>
      <c r="BQ46" s="193"/>
      <c r="BR46" s="193"/>
      <c r="BS46" s="193"/>
      <c r="BT46" s="193"/>
      <c r="BU46" s="193"/>
      <c r="BV46" s="193"/>
      <c r="BW46" s="193"/>
      <c r="BX46" s="193"/>
      <c r="BY46" s="193"/>
      <c r="BZ46" s="193"/>
      <c r="CA46" s="193"/>
      <c r="CB46" s="193"/>
      <c r="CC46" s="193"/>
      <c r="CD46" s="193"/>
      <c r="CE46" s="193"/>
      <c r="CF46" s="193"/>
      <c r="CG46" s="193"/>
      <c r="CH46" s="193"/>
      <c r="CI46" s="193"/>
      <c r="CJ46" s="193"/>
      <c r="CK46" s="193"/>
      <c r="CL46" s="193"/>
      <c r="CM46" s="193"/>
      <c r="CN46" s="193"/>
      <c r="CO46" s="193"/>
      <c r="CP46" s="193"/>
      <c r="CQ46" s="193"/>
      <c r="CR46" s="193"/>
      <c r="CS46" s="193"/>
      <c r="CT46" s="193"/>
      <c r="CU46" s="193"/>
      <c r="CV46" s="193"/>
      <c r="CW46" s="193"/>
      <c r="CX46" s="193"/>
      <c r="CY46" s="193"/>
      <c r="CZ46" s="193"/>
      <c r="DA46" s="193"/>
      <c r="DB46" s="193"/>
      <c r="DC46" s="193"/>
      <c r="DD46" s="193"/>
      <c r="DE46" s="193"/>
      <c r="DF46" s="193"/>
      <c r="DG46" s="193"/>
      <c r="DH46" s="193"/>
      <c r="DI46" s="193"/>
      <c r="DJ46" s="193"/>
      <c r="DK46" s="193"/>
      <c r="DL46" s="193"/>
      <c r="DM46" s="193"/>
      <c r="DN46" s="193"/>
      <c r="DO46" s="193"/>
      <c r="DP46" s="193"/>
      <c r="DQ46" s="193"/>
      <c r="DR46" s="193"/>
      <c r="DS46" s="193"/>
      <c r="DT46" s="193"/>
      <c r="DU46" s="193"/>
      <c r="DV46" s="193"/>
      <c r="DW46" s="193"/>
      <c r="DX46" s="193"/>
      <c r="DY46" s="193"/>
      <c r="DZ46" s="193"/>
      <c r="EA46" s="193"/>
      <c r="EB46" s="193"/>
      <c r="EC46" s="193"/>
      <c r="ED46" s="193"/>
      <c r="EE46" s="193"/>
      <c r="EF46" s="193"/>
      <c r="EG46" s="193"/>
      <c r="EH46" s="193"/>
      <c r="EI46" s="193"/>
      <c r="EJ46" s="193"/>
      <c r="EK46" s="193"/>
      <c r="EL46" s="193"/>
      <c r="EM46" s="193"/>
      <c r="EN46" s="193"/>
      <c r="EO46" s="193"/>
      <c r="EP46" s="193"/>
      <c r="EQ46" s="193"/>
      <c r="ER46" s="193"/>
      <c r="ES46" s="193"/>
      <c r="ET46" s="193"/>
      <c r="EV46" s="190" t="s">
        <v>82</v>
      </c>
    </row>
    <row r="47" spans="5:152" x14ac:dyDescent="0.3">
      <c r="E47" s="37" t="s">
        <v>91</v>
      </c>
      <c r="H47" s="193"/>
      <c r="I47" s="193"/>
      <c r="J47" s="193"/>
      <c r="K47" s="193"/>
      <c r="L47" s="193"/>
      <c r="M47" s="193"/>
      <c r="N47" s="193"/>
      <c r="O47" s="193"/>
      <c r="P47" s="193"/>
      <c r="Q47" s="193"/>
      <c r="R47" s="193"/>
      <c r="S47" s="193"/>
      <c r="T47" s="193"/>
      <c r="U47" s="193"/>
      <c r="V47" s="193"/>
      <c r="W47" s="193"/>
      <c r="X47" s="193"/>
      <c r="Y47" s="193"/>
      <c r="Z47" s="193"/>
      <c r="AA47" s="193"/>
      <c r="AB47" s="193"/>
      <c r="AC47" s="193"/>
      <c r="AD47" s="193"/>
      <c r="AE47" s="193"/>
      <c r="AF47" s="193"/>
      <c r="AG47" s="193"/>
      <c r="AH47" s="193"/>
      <c r="AI47" s="193"/>
      <c r="AJ47" s="193"/>
      <c r="AK47" s="193"/>
      <c r="AL47" s="193"/>
      <c r="AM47" s="193"/>
      <c r="AN47" s="193"/>
      <c r="AO47" s="193"/>
      <c r="AP47" s="193"/>
      <c r="AQ47" s="193"/>
      <c r="AR47" s="193"/>
      <c r="AS47" s="193"/>
      <c r="AT47" s="193"/>
      <c r="AU47" s="193"/>
      <c r="AV47" s="193"/>
      <c r="AW47" s="193"/>
      <c r="AX47" s="193"/>
      <c r="AY47" s="193"/>
      <c r="AZ47" s="193"/>
      <c r="BA47" s="193"/>
      <c r="BB47" s="193"/>
      <c r="BC47" s="193"/>
      <c r="BD47" s="193"/>
      <c r="BE47" s="193"/>
      <c r="BF47" s="193"/>
      <c r="BG47" s="193"/>
      <c r="BH47" s="193"/>
      <c r="BI47" s="193"/>
      <c r="BJ47" s="193"/>
      <c r="BK47" s="193"/>
      <c r="BL47" s="193"/>
      <c r="BM47" s="193"/>
      <c r="BN47" s="193"/>
      <c r="BO47" s="193"/>
      <c r="BP47" s="193"/>
      <c r="BQ47" s="193"/>
      <c r="BR47" s="193"/>
      <c r="BS47" s="193"/>
      <c r="BT47" s="193"/>
      <c r="BU47" s="193"/>
      <c r="BV47" s="193"/>
      <c r="BW47" s="193"/>
      <c r="BX47" s="193"/>
      <c r="BY47" s="193"/>
      <c r="BZ47" s="193"/>
      <c r="CA47" s="193"/>
      <c r="CB47" s="193"/>
      <c r="CC47" s="193"/>
      <c r="CD47" s="193"/>
      <c r="CE47" s="193"/>
      <c r="CF47" s="193"/>
      <c r="CG47" s="193"/>
      <c r="CH47" s="193"/>
      <c r="CI47" s="193"/>
      <c r="CJ47" s="193"/>
      <c r="CK47" s="193"/>
      <c r="CL47" s="193"/>
      <c r="CM47" s="193"/>
      <c r="CN47" s="193"/>
      <c r="CO47" s="193"/>
      <c r="CP47" s="193"/>
      <c r="CQ47" s="193"/>
      <c r="CR47" s="193"/>
      <c r="CS47" s="193"/>
      <c r="CT47" s="193"/>
      <c r="CU47" s="193"/>
      <c r="CV47" s="193"/>
      <c r="CW47" s="193"/>
      <c r="CX47" s="193"/>
      <c r="CY47" s="193"/>
      <c r="CZ47" s="193"/>
      <c r="DA47" s="193"/>
      <c r="DB47" s="193"/>
      <c r="DC47" s="193"/>
      <c r="DD47" s="193"/>
      <c r="DE47" s="193"/>
      <c r="DF47" s="193"/>
      <c r="DG47" s="193"/>
      <c r="DH47" s="193"/>
      <c r="DI47" s="193"/>
      <c r="DJ47" s="193"/>
      <c r="DK47" s="193"/>
      <c r="DL47" s="193"/>
      <c r="DM47" s="193"/>
      <c r="DN47" s="193"/>
      <c r="DO47" s="193"/>
      <c r="DP47" s="193"/>
      <c r="DQ47" s="193"/>
      <c r="DR47" s="193"/>
      <c r="DS47" s="193"/>
      <c r="DT47" s="193"/>
      <c r="DU47" s="193"/>
      <c r="DV47" s="193"/>
      <c r="DW47" s="193"/>
      <c r="DX47" s="193"/>
      <c r="DY47" s="193"/>
      <c r="DZ47" s="193"/>
      <c r="EA47" s="193"/>
      <c r="EB47" s="193"/>
      <c r="EC47" s="193"/>
      <c r="ED47" s="193"/>
      <c r="EE47" s="193"/>
      <c r="EF47" s="193"/>
      <c r="EG47" s="193"/>
      <c r="EH47" s="193"/>
      <c r="EI47" s="193"/>
      <c r="EJ47" s="193"/>
      <c r="EK47" s="193"/>
      <c r="EL47" s="193"/>
      <c r="EM47" s="193"/>
      <c r="EN47" s="193"/>
      <c r="EO47" s="193"/>
      <c r="EP47" s="193"/>
      <c r="EQ47" s="193"/>
      <c r="ER47" s="193"/>
      <c r="ES47" s="193"/>
      <c r="ET47" s="193"/>
      <c r="EV47" s="190" t="s">
        <v>82</v>
      </c>
    </row>
    <row r="48" spans="5:152" x14ac:dyDescent="0.3">
      <c r="E48" t="str">
        <f>$E$5</f>
        <v>Capital Partner</v>
      </c>
      <c r="G48" s="193">
        <f t="shared" ref="G48:BR48" si="62">+G23+G32+G40+G17+(G27-G29)</f>
        <v>-1016124675.9072572</v>
      </c>
      <c r="H48" s="193">
        <f t="shared" si="62"/>
        <v>39722193.686491989</v>
      </c>
      <c r="I48" s="193">
        <f t="shared" si="62"/>
        <v>62408662.036491983</v>
      </c>
      <c r="J48" s="193">
        <f t="shared" si="62"/>
        <v>80938043.094491974</v>
      </c>
      <c r="K48" s="193">
        <f t="shared" si="62"/>
        <v>86261537.324851528</v>
      </c>
      <c r="L48" s="193">
        <f t="shared" si="62"/>
        <v>91106341.720854744</v>
      </c>
      <c r="M48" s="193">
        <f t="shared" si="62"/>
        <v>11665778.764778009</v>
      </c>
      <c r="N48" s="193">
        <f t="shared" si="62"/>
        <v>89876538.811579734</v>
      </c>
      <c r="O48" s="193">
        <f t="shared" si="62"/>
        <v>92810204.31931752</v>
      </c>
      <c r="P48" s="193">
        <f t="shared" si="62"/>
        <v>96387265.097210035</v>
      </c>
      <c r="Q48" s="193">
        <f t="shared" si="62"/>
        <v>1509932189.0053256</v>
      </c>
      <c r="R48" s="193">
        <f t="shared" si="62"/>
        <v>0</v>
      </c>
      <c r="S48" s="193">
        <f t="shared" si="62"/>
        <v>0</v>
      </c>
      <c r="T48" s="193">
        <f t="shared" si="62"/>
        <v>0</v>
      </c>
      <c r="U48" s="193">
        <f t="shared" si="62"/>
        <v>0</v>
      </c>
      <c r="V48" s="193">
        <f t="shared" si="62"/>
        <v>0</v>
      </c>
      <c r="W48" s="193">
        <f t="shared" si="62"/>
        <v>0</v>
      </c>
      <c r="X48" s="193">
        <f t="shared" si="62"/>
        <v>0</v>
      </c>
      <c r="Y48" s="193">
        <f t="shared" si="62"/>
        <v>0</v>
      </c>
      <c r="Z48" s="193">
        <f t="shared" si="62"/>
        <v>0</v>
      </c>
      <c r="AA48" s="193">
        <f t="shared" si="62"/>
        <v>0</v>
      </c>
      <c r="AB48" s="193">
        <f t="shared" si="62"/>
        <v>0</v>
      </c>
      <c r="AC48" s="193">
        <f t="shared" si="62"/>
        <v>0</v>
      </c>
      <c r="AD48" s="193">
        <f t="shared" si="62"/>
        <v>0</v>
      </c>
      <c r="AE48" s="193">
        <f t="shared" si="62"/>
        <v>0</v>
      </c>
      <c r="AF48" s="193">
        <f t="shared" si="62"/>
        <v>0</v>
      </c>
      <c r="AG48" s="193">
        <f t="shared" si="62"/>
        <v>0</v>
      </c>
      <c r="AH48" s="193">
        <f t="shared" si="62"/>
        <v>0</v>
      </c>
      <c r="AI48" s="193">
        <f t="shared" si="62"/>
        <v>0</v>
      </c>
      <c r="AJ48" s="193">
        <f t="shared" si="62"/>
        <v>0</v>
      </c>
      <c r="AK48" s="193">
        <f t="shared" si="62"/>
        <v>0</v>
      </c>
      <c r="AL48" s="193">
        <f t="shared" si="62"/>
        <v>0</v>
      </c>
      <c r="AM48" s="193">
        <f t="shared" si="62"/>
        <v>0</v>
      </c>
      <c r="AN48" s="193">
        <f t="shared" si="62"/>
        <v>0</v>
      </c>
      <c r="AO48" s="193">
        <f t="shared" si="62"/>
        <v>0</v>
      </c>
      <c r="AP48" s="193">
        <f t="shared" si="62"/>
        <v>0</v>
      </c>
      <c r="AQ48" s="193">
        <f t="shared" si="62"/>
        <v>0</v>
      </c>
      <c r="AR48" s="193">
        <f t="shared" si="62"/>
        <v>0</v>
      </c>
      <c r="AS48" s="193">
        <f t="shared" si="62"/>
        <v>0</v>
      </c>
      <c r="AT48" s="193">
        <f t="shared" si="62"/>
        <v>0</v>
      </c>
      <c r="AU48" s="193">
        <f t="shared" si="62"/>
        <v>0</v>
      </c>
      <c r="AV48" s="193">
        <f t="shared" si="62"/>
        <v>0</v>
      </c>
      <c r="AW48" s="193">
        <f t="shared" si="62"/>
        <v>0</v>
      </c>
      <c r="AX48" s="193">
        <f t="shared" si="62"/>
        <v>0</v>
      </c>
      <c r="AY48" s="193">
        <f t="shared" si="62"/>
        <v>0</v>
      </c>
      <c r="AZ48" s="193">
        <f t="shared" si="62"/>
        <v>0</v>
      </c>
      <c r="BA48" s="193">
        <f t="shared" si="62"/>
        <v>0</v>
      </c>
      <c r="BB48" s="193">
        <f t="shared" si="62"/>
        <v>0</v>
      </c>
      <c r="BC48" s="193">
        <f t="shared" si="62"/>
        <v>0</v>
      </c>
      <c r="BD48" s="193">
        <f t="shared" si="62"/>
        <v>0</v>
      </c>
      <c r="BE48" s="193">
        <f t="shared" si="62"/>
        <v>0</v>
      </c>
      <c r="BF48" s="193">
        <f t="shared" si="62"/>
        <v>0</v>
      </c>
      <c r="BG48" s="193">
        <f t="shared" si="62"/>
        <v>0</v>
      </c>
      <c r="BH48" s="193">
        <f t="shared" si="62"/>
        <v>0</v>
      </c>
      <c r="BI48" s="193">
        <f t="shared" si="62"/>
        <v>0</v>
      </c>
      <c r="BJ48" s="193">
        <f t="shared" si="62"/>
        <v>0</v>
      </c>
      <c r="BK48" s="193">
        <f t="shared" si="62"/>
        <v>0</v>
      </c>
      <c r="BL48" s="193">
        <f t="shared" si="62"/>
        <v>0</v>
      </c>
      <c r="BM48" s="193">
        <f t="shared" si="62"/>
        <v>0</v>
      </c>
      <c r="BN48" s="193">
        <f t="shared" si="62"/>
        <v>0</v>
      </c>
      <c r="BO48" s="193">
        <f t="shared" si="62"/>
        <v>0</v>
      </c>
      <c r="BP48" s="193">
        <f t="shared" si="62"/>
        <v>0</v>
      </c>
      <c r="BQ48" s="193">
        <f t="shared" si="62"/>
        <v>0</v>
      </c>
      <c r="BR48" s="193">
        <f t="shared" si="62"/>
        <v>0</v>
      </c>
      <c r="BS48" s="193">
        <f t="shared" ref="BS48:ED48" si="63">+BS23+BS32+BS40+BS17+(BS27-BS29)</f>
        <v>0</v>
      </c>
      <c r="BT48" s="193">
        <f t="shared" si="63"/>
        <v>0</v>
      </c>
      <c r="BU48" s="193">
        <f t="shared" si="63"/>
        <v>0</v>
      </c>
      <c r="BV48" s="193">
        <f t="shared" si="63"/>
        <v>0</v>
      </c>
      <c r="BW48" s="193">
        <f t="shared" si="63"/>
        <v>0</v>
      </c>
      <c r="BX48" s="193">
        <f t="shared" si="63"/>
        <v>0</v>
      </c>
      <c r="BY48" s="193">
        <f t="shared" si="63"/>
        <v>0</v>
      </c>
      <c r="BZ48" s="193">
        <f t="shared" si="63"/>
        <v>0</v>
      </c>
      <c r="CA48" s="193">
        <f t="shared" si="63"/>
        <v>0</v>
      </c>
      <c r="CB48" s="193">
        <f t="shared" si="63"/>
        <v>0</v>
      </c>
      <c r="CC48" s="193">
        <f t="shared" si="63"/>
        <v>0</v>
      </c>
      <c r="CD48" s="193">
        <f t="shared" si="63"/>
        <v>0</v>
      </c>
      <c r="CE48" s="193">
        <f t="shared" si="63"/>
        <v>0</v>
      </c>
      <c r="CF48" s="193">
        <f t="shared" si="63"/>
        <v>0</v>
      </c>
      <c r="CG48" s="193">
        <f t="shared" si="63"/>
        <v>0</v>
      </c>
      <c r="CH48" s="193">
        <f t="shared" si="63"/>
        <v>0</v>
      </c>
      <c r="CI48" s="193">
        <f t="shared" si="63"/>
        <v>0</v>
      </c>
      <c r="CJ48" s="193">
        <f t="shared" si="63"/>
        <v>0</v>
      </c>
      <c r="CK48" s="193">
        <f t="shared" si="63"/>
        <v>0</v>
      </c>
      <c r="CL48" s="193">
        <f t="shared" si="63"/>
        <v>0</v>
      </c>
      <c r="CM48" s="193">
        <f t="shared" si="63"/>
        <v>0</v>
      </c>
      <c r="CN48" s="193">
        <f t="shared" si="63"/>
        <v>0</v>
      </c>
      <c r="CO48" s="193">
        <f t="shared" si="63"/>
        <v>0</v>
      </c>
      <c r="CP48" s="193">
        <f t="shared" si="63"/>
        <v>0</v>
      </c>
      <c r="CQ48" s="193">
        <f t="shared" si="63"/>
        <v>0</v>
      </c>
      <c r="CR48" s="193">
        <f t="shared" si="63"/>
        <v>0</v>
      </c>
      <c r="CS48" s="193">
        <f t="shared" si="63"/>
        <v>0</v>
      </c>
      <c r="CT48" s="193">
        <f t="shared" si="63"/>
        <v>0</v>
      </c>
      <c r="CU48" s="193">
        <f t="shared" si="63"/>
        <v>0</v>
      </c>
      <c r="CV48" s="193">
        <f t="shared" si="63"/>
        <v>0</v>
      </c>
      <c r="CW48" s="193">
        <f t="shared" si="63"/>
        <v>0</v>
      </c>
      <c r="CX48" s="193">
        <f t="shared" si="63"/>
        <v>0</v>
      </c>
      <c r="CY48" s="193">
        <f t="shared" si="63"/>
        <v>0</v>
      </c>
      <c r="CZ48" s="193">
        <f t="shared" si="63"/>
        <v>0</v>
      </c>
      <c r="DA48" s="193">
        <f t="shared" si="63"/>
        <v>0</v>
      </c>
      <c r="DB48" s="193">
        <f t="shared" si="63"/>
        <v>0</v>
      </c>
      <c r="DC48" s="193">
        <f t="shared" si="63"/>
        <v>0</v>
      </c>
      <c r="DD48" s="193">
        <f t="shared" si="63"/>
        <v>0</v>
      </c>
      <c r="DE48" s="193">
        <f t="shared" si="63"/>
        <v>0</v>
      </c>
      <c r="DF48" s="193">
        <f t="shared" si="63"/>
        <v>0</v>
      </c>
      <c r="DG48" s="193">
        <f t="shared" si="63"/>
        <v>0</v>
      </c>
      <c r="DH48" s="193">
        <f t="shared" si="63"/>
        <v>0</v>
      </c>
      <c r="DI48" s="193">
        <f t="shared" si="63"/>
        <v>0</v>
      </c>
      <c r="DJ48" s="193">
        <f t="shared" si="63"/>
        <v>0</v>
      </c>
      <c r="DK48" s="193">
        <f t="shared" si="63"/>
        <v>0</v>
      </c>
      <c r="DL48" s="193">
        <f t="shared" si="63"/>
        <v>0</v>
      </c>
      <c r="DM48" s="193">
        <f t="shared" si="63"/>
        <v>0</v>
      </c>
      <c r="DN48" s="193">
        <f t="shared" si="63"/>
        <v>0</v>
      </c>
      <c r="DO48" s="193">
        <f t="shared" si="63"/>
        <v>0</v>
      </c>
      <c r="DP48" s="193">
        <f t="shared" si="63"/>
        <v>0</v>
      </c>
      <c r="DQ48" s="193">
        <f t="shared" si="63"/>
        <v>0</v>
      </c>
      <c r="DR48" s="193">
        <f t="shared" si="63"/>
        <v>0</v>
      </c>
      <c r="DS48" s="193">
        <f t="shared" si="63"/>
        <v>0</v>
      </c>
      <c r="DT48" s="193">
        <f t="shared" si="63"/>
        <v>0</v>
      </c>
      <c r="DU48" s="193">
        <f t="shared" si="63"/>
        <v>0</v>
      </c>
      <c r="DV48" s="193">
        <f t="shared" si="63"/>
        <v>0</v>
      </c>
      <c r="DW48" s="193">
        <f t="shared" si="63"/>
        <v>0</v>
      </c>
      <c r="DX48" s="193">
        <f t="shared" si="63"/>
        <v>0</v>
      </c>
      <c r="DY48" s="193">
        <f t="shared" si="63"/>
        <v>0</v>
      </c>
      <c r="DZ48" s="193">
        <f t="shared" si="63"/>
        <v>0</v>
      </c>
      <c r="EA48" s="193">
        <f t="shared" si="63"/>
        <v>0</v>
      </c>
      <c r="EB48" s="193">
        <f t="shared" si="63"/>
        <v>0</v>
      </c>
      <c r="EC48" s="193">
        <f t="shared" si="63"/>
        <v>0</v>
      </c>
      <c r="ED48" s="193">
        <f t="shared" si="63"/>
        <v>0</v>
      </c>
      <c r="EE48" s="193">
        <f t="shared" ref="EE48:ET48" si="64">+EE23+EE32+EE40+EE17+(EE27-EE29)</f>
        <v>0</v>
      </c>
      <c r="EF48" s="193">
        <f t="shared" si="64"/>
        <v>0</v>
      </c>
      <c r="EG48" s="193">
        <f t="shared" si="64"/>
        <v>0</v>
      </c>
      <c r="EH48" s="193">
        <f t="shared" si="64"/>
        <v>0</v>
      </c>
      <c r="EI48" s="193">
        <f t="shared" si="64"/>
        <v>0</v>
      </c>
      <c r="EJ48" s="193">
        <f t="shared" si="64"/>
        <v>0</v>
      </c>
      <c r="EK48" s="193">
        <f t="shared" si="64"/>
        <v>0</v>
      </c>
      <c r="EL48" s="193">
        <f t="shared" si="64"/>
        <v>0</v>
      </c>
      <c r="EM48" s="193">
        <f t="shared" si="64"/>
        <v>0</v>
      </c>
      <c r="EN48" s="193">
        <f t="shared" si="64"/>
        <v>0</v>
      </c>
      <c r="EO48" s="193">
        <f t="shared" si="64"/>
        <v>0</v>
      </c>
      <c r="EP48" s="193">
        <f t="shared" si="64"/>
        <v>0</v>
      </c>
      <c r="EQ48" s="193">
        <f t="shared" si="64"/>
        <v>0</v>
      </c>
      <c r="ER48" s="193">
        <f t="shared" si="64"/>
        <v>0</v>
      </c>
      <c r="ES48" s="193">
        <f t="shared" si="64"/>
        <v>0</v>
      </c>
      <c r="ET48" s="193">
        <f t="shared" si="64"/>
        <v>0</v>
      </c>
      <c r="EV48" s="190" t="s">
        <v>82</v>
      </c>
    </row>
    <row r="49" spans="3:152" x14ac:dyDescent="0.3">
      <c r="C49" s="193"/>
      <c r="E49" t="str">
        <f>$E$4</f>
        <v>Sponsor</v>
      </c>
      <c r="G49" s="193">
        <f t="shared" ref="G49:BR49" si="65">+G24+G33+G41+G18</f>
        <v>-53480246.100381963</v>
      </c>
      <c r="H49" s="193">
        <f t="shared" si="65"/>
        <v>2090641.7729732627</v>
      </c>
      <c r="I49" s="193">
        <f t="shared" si="65"/>
        <v>3284666.4229732626</v>
      </c>
      <c r="J49" s="193">
        <f t="shared" si="65"/>
        <v>4259897.0049732616</v>
      </c>
      <c r="K49" s="193">
        <f t="shared" si="65"/>
        <v>4540080.9118342912</v>
      </c>
      <c r="L49" s="193">
        <f t="shared" si="65"/>
        <v>4795070.6168870917</v>
      </c>
      <c r="M49" s="193">
        <f t="shared" si="65"/>
        <v>613988.35604094795</v>
      </c>
      <c r="N49" s="193">
        <f t="shared" si="65"/>
        <v>4730344.1479778811</v>
      </c>
      <c r="O49" s="193">
        <f t="shared" si="65"/>
        <v>4884747.5957535543</v>
      </c>
      <c r="P49" s="193">
        <f t="shared" si="65"/>
        <v>5073013.952484739</v>
      </c>
      <c r="Q49" s="193">
        <f t="shared" si="65"/>
        <v>79470115.210806608</v>
      </c>
      <c r="R49" s="193">
        <f t="shared" si="65"/>
        <v>0</v>
      </c>
      <c r="S49" s="193">
        <f t="shared" si="65"/>
        <v>0</v>
      </c>
      <c r="T49" s="193">
        <f t="shared" si="65"/>
        <v>0</v>
      </c>
      <c r="U49" s="193">
        <f t="shared" si="65"/>
        <v>0</v>
      </c>
      <c r="V49" s="193">
        <f t="shared" si="65"/>
        <v>0</v>
      </c>
      <c r="W49" s="193">
        <f t="shared" si="65"/>
        <v>0</v>
      </c>
      <c r="X49" s="193">
        <f t="shared" si="65"/>
        <v>0</v>
      </c>
      <c r="Y49" s="193">
        <f t="shared" si="65"/>
        <v>0</v>
      </c>
      <c r="Z49" s="193">
        <f t="shared" si="65"/>
        <v>0</v>
      </c>
      <c r="AA49" s="193">
        <f t="shared" si="65"/>
        <v>0</v>
      </c>
      <c r="AB49" s="193">
        <f t="shared" si="65"/>
        <v>0</v>
      </c>
      <c r="AC49" s="193">
        <f t="shared" si="65"/>
        <v>0</v>
      </c>
      <c r="AD49" s="193">
        <f t="shared" si="65"/>
        <v>0</v>
      </c>
      <c r="AE49" s="193">
        <f t="shared" si="65"/>
        <v>0</v>
      </c>
      <c r="AF49" s="193">
        <f t="shared" si="65"/>
        <v>0</v>
      </c>
      <c r="AG49" s="193">
        <f t="shared" si="65"/>
        <v>0</v>
      </c>
      <c r="AH49" s="193">
        <f t="shared" si="65"/>
        <v>0</v>
      </c>
      <c r="AI49" s="193">
        <f t="shared" si="65"/>
        <v>0</v>
      </c>
      <c r="AJ49" s="193">
        <f t="shared" si="65"/>
        <v>0</v>
      </c>
      <c r="AK49" s="193">
        <f t="shared" si="65"/>
        <v>0</v>
      </c>
      <c r="AL49" s="193">
        <f t="shared" si="65"/>
        <v>0</v>
      </c>
      <c r="AM49" s="193">
        <f t="shared" si="65"/>
        <v>0</v>
      </c>
      <c r="AN49" s="193">
        <f t="shared" si="65"/>
        <v>0</v>
      </c>
      <c r="AO49" s="193">
        <f t="shared" si="65"/>
        <v>0</v>
      </c>
      <c r="AP49" s="193">
        <f t="shared" si="65"/>
        <v>0</v>
      </c>
      <c r="AQ49" s="193">
        <f t="shared" si="65"/>
        <v>0</v>
      </c>
      <c r="AR49" s="193">
        <f t="shared" si="65"/>
        <v>0</v>
      </c>
      <c r="AS49" s="193">
        <f t="shared" si="65"/>
        <v>0</v>
      </c>
      <c r="AT49" s="193">
        <f t="shared" si="65"/>
        <v>0</v>
      </c>
      <c r="AU49" s="193">
        <f t="shared" si="65"/>
        <v>0</v>
      </c>
      <c r="AV49" s="193">
        <f t="shared" si="65"/>
        <v>0</v>
      </c>
      <c r="AW49" s="193">
        <f t="shared" si="65"/>
        <v>0</v>
      </c>
      <c r="AX49" s="193">
        <f t="shared" si="65"/>
        <v>0</v>
      </c>
      <c r="AY49" s="193">
        <f t="shared" si="65"/>
        <v>0</v>
      </c>
      <c r="AZ49" s="193">
        <f t="shared" si="65"/>
        <v>0</v>
      </c>
      <c r="BA49" s="193">
        <f t="shared" si="65"/>
        <v>0</v>
      </c>
      <c r="BB49" s="193">
        <f t="shared" si="65"/>
        <v>0</v>
      </c>
      <c r="BC49" s="193">
        <f t="shared" si="65"/>
        <v>0</v>
      </c>
      <c r="BD49" s="193">
        <f t="shared" si="65"/>
        <v>0</v>
      </c>
      <c r="BE49" s="193">
        <f t="shared" si="65"/>
        <v>0</v>
      </c>
      <c r="BF49" s="193">
        <f t="shared" si="65"/>
        <v>0</v>
      </c>
      <c r="BG49" s="193">
        <f t="shared" si="65"/>
        <v>0</v>
      </c>
      <c r="BH49" s="193">
        <f t="shared" si="65"/>
        <v>0</v>
      </c>
      <c r="BI49" s="193">
        <f t="shared" si="65"/>
        <v>0</v>
      </c>
      <c r="BJ49" s="193">
        <f t="shared" si="65"/>
        <v>0</v>
      </c>
      <c r="BK49" s="193">
        <f t="shared" si="65"/>
        <v>0</v>
      </c>
      <c r="BL49" s="193">
        <f t="shared" si="65"/>
        <v>0</v>
      </c>
      <c r="BM49" s="193">
        <f t="shared" si="65"/>
        <v>0</v>
      </c>
      <c r="BN49" s="193">
        <f t="shared" si="65"/>
        <v>0</v>
      </c>
      <c r="BO49" s="193">
        <f t="shared" si="65"/>
        <v>0</v>
      </c>
      <c r="BP49" s="193">
        <f t="shared" si="65"/>
        <v>0</v>
      </c>
      <c r="BQ49" s="193">
        <f t="shared" si="65"/>
        <v>0</v>
      </c>
      <c r="BR49" s="193">
        <f t="shared" si="65"/>
        <v>0</v>
      </c>
      <c r="BS49" s="193">
        <f t="shared" ref="BS49:ED49" si="66">+BS24+BS33+BS41+BS18</f>
        <v>0</v>
      </c>
      <c r="BT49" s="193">
        <f t="shared" si="66"/>
        <v>0</v>
      </c>
      <c r="BU49" s="193">
        <f t="shared" si="66"/>
        <v>0</v>
      </c>
      <c r="BV49" s="193">
        <f t="shared" si="66"/>
        <v>0</v>
      </c>
      <c r="BW49" s="193">
        <f t="shared" si="66"/>
        <v>0</v>
      </c>
      <c r="BX49" s="193">
        <f t="shared" si="66"/>
        <v>0</v>
      </c>
      <c r="BY49" s="193">
        <f t="shared" si="66"/>
        <v>0</v>
      </c>
      <c r="BZ49" s="193">
        <f t="shared" si="66"/>
        <v>0</v>
      </c>
      <c r="CA49" s="193">
        <f t="shared" si="66"/>
        <v>0</v>
      </c>
      <c r="CB49" s="193">
        <f t="shared" si="66"/>
        <v>0</v>
      </c>
      <c r="CC49" s="193">
        <f t="shared" si="66"/>
        <v>0</v>
      </c>
      <c r="CD49" s="193">
        <f t="shared" si="66"/>
        <v>0</v>
      </c>
      <c r="CE49" s="193">
        <f t="shared" si="66"/>
        <v>0</v>
      </c>
      <c r="CF49" s="193">
        <f t="shared" si="66"/>
        <v>0</v>
      </c>
      <c r="CG49" s="193">
        <f t="shared" si="66"/>
        <v>0</v>
      </c>
      <c r="CH49" s="193">
        <f t="shared" si="66"/>
        <v>0</v>
      </c>
      <c r="CI49" s="193">
        <f t="shared" si="66"/>
        <v>0</v>
      </c>
      <c r="CJ49" s="193">
        <f t="shared" si="66"/>
        <v>0</v>
      </c>
      <c r="CK49" s="193">
        <f t="shared" si="66"/>
        <v>0</v>
      </c>
      <c r="CL49" s="193">
        <f t="shared" si="66"/>
        <v>0</v>
      </c>
      <c r="CM49" s="193">
        <f t="shared" si="66"/>
        <v>0</v>
      </c>
      <c r="CN49" s="193">
        <f t="shared" si="66"/>
        <v>0</v>
      </c>
      <c r="CO49" s="193">
        <f t="shared" si="66"/>
        <v>0</v>
      </c>
      <c r="CP49" s="193">
        <f t="shared" si="66"/>
        <v>0</v>
      </c>
      <c r="CQ49" s="193">
        <f t="shared" si="66"/>
        <v>0</v>
      </c>
      <c r="CR49" s="193">
        <f t="shared" si="66"/>
        <v>0</v>
      </c>
      <c r="CS49" s="193">
        <f t="shared" si="66"/>
        <v>0</v>
      </c>
      <c r="CT49" s="193">
        <f t="shared" si="66"/>
        <v>0</v>
      </c>
      <c r="CU49" s="193">
        <f t="shared" si="66"/>
        <v>0</v>
      </c>
      <c r="CV49" s="193">
        <f t="shared" si="66"/>
        <v>0</v>
      </c>
      <c r="CW49" s="193">
        <f t="shared" si="66"/>
        <v>0</v>
      </c>
      <c r="CX49" s="193">
        <f t="shared" si="66"/>
        <v>0</v>
      </c>
      <c r="CY49" s="193">
        <f t="shared" si="66"/>
        <v>0</v>
      </c>
      <c r="CZ49" s="193">
        <f t="shared" si="66"/>
        <v>0</v>
      </c>
      <c r="DA49" s="193">
        <f t="shared" si="66"/>
        <v>0</v>
      </c>
      <c r="DB49" s="193">
        <f t="shared" si="66"/>
        <v>0</v>
      </c>
      <c r="DC49" s="193">
        <f t="shared" si="66"/>
        <v>0</v>
      </c>
      <c r="DD49" s="193">
        <f t="shared" si="66"/>
        <v>0</v>
      </c>
      <c r="DE49" s="193">
        <f t="shared" si="66"/>
        <v>0</v>
      </c>
      <c r="DF49" s="193">
        <f t="shared" si="66"/>
        <v>0</v>
      </c>
      <c r="DG49" s="193">
        <f t="shared" si="66"/>
        <v>0</v>
      </c>
      <c r="DH49" s="193">
        <f t="shared" si="66"/>
        <v>0</v>
      </c>
      <c r="DI49" s="193">
        <f t="shared" si="66"/>
        <v>0</v>
      </c>
      <c r="DJ49" s="193">
        <f t="shared" si="66"/>
        <v>0</v>
      </c>
      <c r="DK49" s="193">
        <f t="shared" si="66"/>
        <v>0</v>
      </c>
      <c r="DL49" s="193">
        <f t="shared" si="66"/>
        <v>0</v>
      </c>
      <c r="DM49" s="193">
        <f t="shared" si="66"/>
        <v>0</v>
      </c>
      <c r="DN49" s="193">
        <f t="shared" si="66"/>
        <v>0</v>
      </c>
      <c r="DO49" s="193">
        <f t="shared" si="66"/>
        <v>0</v>
      </c>
      <c r="DP49" s="193">
        <f t="shared" si="66"/>
        <v>0</v>
      </c>
      <c r="DQ49" s="193">
        <f t="shared" si="66"/>
        <v>0</v>
      </c>
      <c r="DR49" s="193">
        <f t="shared" si="66"/>
        <v>0</v>
      </c>
      <c r="DS49" s="193">
        <f t="shared" si="66"/>
        <v>0</v>
      </c>
      <c r="DT49" s="193">
        <f t="shared" si="66"/>
        <v>0</v>
      </c>
      <c r="DU49" s="193">
        <f t="shared" si="66"/>
        <v>0</v>
      </c>
      <c r="DV49" s="193">
        <f t="shared" si="66"/>
        <v>0</v>
      </c>
      <c r="DW49" s="193">
        <f t="shared" si="66"/>
        <v>0</v>
      </c>
      <c r="DX49" s="193">
        <f t="shared" si="66"/>
        <v>0</v>
      </c>
      <c r="DY49" s="193">
        <f t="shared" si="66"/>
        <v>0</v>
      </c>
      <c r="DZ49" s="193">
        <f t="shared" si="66"/>
        <v>0</v>
      </c>
      <c r="EA49" s="193">
        <f t="shared" si="66"/>
        <v>0</v>
      </c>
      <c r="EB49" s="193">
        <f t="shared" si="66"/>
        <v>0</v>
      </c>
      <c r="EC49" s="193">
        <f t="shared" si="66"/>
        <v>0</v>
      </c>
      <c r="ED49" s="193">
        <f t="shared" si="66"/>
        <v>0</v>
      </c>
      <c r="EE49" s="193">
        <f t="shared" ref="EE49:ET49" si="67">+EE24+EE33+EE41+EE18</f>
        <v>0</v>
      </c>
      <c r="EF49" s="193">
        <f t="shared" si="67"/>
        <v>0</v>
      </c>
      <c r="EG49" s="193">
        <f t="shared" si="67"/>
        <v>0</v>
      </c>
      <c r="EH49" s="193">
        <f t="shared" si="67"/>
        <v>0</v>
      </c>
      <c r="EI49" s="193">
        <f t="shared" si="67"/>
        <v>0</v>
      </c>
      <c r="EJ49" s="193">
        <f t="shared" si="67"/>
        <v>0</v>
      </c>
      <c r="EK49" s="193">
        <f t="shared" si="67"/>
        <v>0</v>
      </c>
      <c r="EL49" s="193">
        <f t="shared" si="67"/>
        <v>0</v>
      </c>
      <c r="EM49" s="193">
        <f t="shared" si="67"/>
        <v>0</v>
      </c>
      <c r="EN49" s="193">
        <f t="shared" si="67"/>
        <v>0</v>
      </c>
      <c r="EO49" s="193">
        <f t="shared" si="67"/>
        <v>0</v>
      </c>
      <c r="EP49" s="193">
        <f t="shared" si="67"/>
        <v>0</v>
      </c>
      <c r="EQ49" s="193">
        <f t="shared" si="67"/>
        <v>0</v>
      </c>
      <c r="ER49" s="193">
        <f t="shared" si="67"/>
        <v>0</v>
      </c>
      <c r="ES49" s="193">
        <f t="shared" si="67"/>
        <v>0</v>
      </c>
      <c r="ET49" s="193">
        <f t="shared" si="67"/>
        <v>0</v>
      </c>
      <c r="EV49" s="190" t="s">
        <v>82</v>
      </c>
    </row>
    <row r="50" spans="3:152" s="37" customFormat="1" x14ac:dyDescent="0.3">
      <c r="E50" s="37" t="s">
        <v>92</v>
      </c>
      <c r="G50" s="49">
        <f t="shared" ref="G50:BR50" si="68">SUM(G48:G49)</f>
        <v>-1069604922.0076392</v>
      </c>
      <c r="H50" s="49">
        <f t="shared" si="68"/>
        <v>41812835.45946525</v>
      </c>
      <c r="I50" s="49">
        <f t="shared" si="68"/>
        <v>65693328.459465243</v>
      </c>
      <c r="J50" s="49">
        <f t="shared" si="68"/>
        <v>85197940.099465236</v>
      </c>
      <c r="K50" s="49">
        <f t="shared" si="68"/>
        <v>90801618.236685812</v>
      </c>
      <c r="L50" s="49">
        <f t="shared" si="68"/>
        <v>95901412.337741837</v>
      </c>
      <c r="M50" s="49">
        <f t="shared" si="68"/>
        <v>12279767.120818956</v>
      </c>
      <c r="N50" s="49">
        <f t="shared" si="68"/>
        <v>94606882.959557623</v>
      </c>
      <c r="O50" s="49">
        <f t="shared" si="68"/>
        <v>97694951.91507107</v>
      </c>
      <c r="P50" s="49">
        <f t="shared" si="68"/>
        <v>101460279.04969478</v>
      </c>
      <c r="Q50" s="49">
        <f t="shared" si="68"/>
        <v>1589402304.2161322</v>
      </c>
      <c r="R50" s="49">
        <f t="shared" si="68"/>
        <v>0</v>
      </c>
      <c r="S50" s="49">
        <f t="shared" si="68"/>
        <v>0</v>
      </c>
      <c r="T50" s="49">
        <f t="shared" si="68"/>
        <v>0</v>
      </c>
      <c r="U50" s="49">
        <f t="shared" si="68"/>
        <v>0</v>
      </c>
      <c r="V50" s="49">
        <f t="shared" si="68"/>
        <v>0</v>
      </c>
      <c r="W50" s="49">
        <f t="shared" si="68"/>
        <v>0</v>
      </c>
      <c r="X50" s="49">
        <f t="shared" si="68"/>
        <v>0</v>
      </c>
      <c r="Y50" s="49">
        <f t="shared" si="68"/>
        <v>0</v>
      </c>
      <c r="Z50" s="49">
        <f t="shared" si="68"/>
        <v>0</v>
      </c>
      <c r="AA50" s="49">
        <f t="shared" si="68"/>
        <v>0</v>
      </c>
      <c r="AB50" s="49">
        <f t="shared" si="68"/>
        <v>0</v>
      </c>
      <c r="AC50" s="49">
        <f t="shared" si="68"/>
        <v>0</v>
      </c>
      <c r="AD50" s="49">
        <f t="shared" si="68"/>
        <v>0</v>
      </c>
      <c r="AE50" s="49">
        <f t="shared" si="68"/>
        <v>0</v>
      </c>
      <c r="AF50" s="49">
        <f t="shared" si="68"/>
        <v>0</v>
      </c>
      <c r="AG50" s="49">
        <f t="shared" si="68"/>
        <v>0</v>
      </c>
      <c r="AH50" s="49">
        <f t="shared" si="68"/>
        <v>0</v>
      </c>
      <c r="AI50" s="49">
        <f t="shared" si="68"/>
        <v>0</v>
      </c>
      <c r="AJ50" s="49">
        <f t="shared" si="68"/>
        <v>0</v>
      </c>
      <c r="AK50" s="49">
        <f t="shared" si="68"/>
        <v>0</v>
      </c>
      <c r="AL50" s="49">
        <f t="shared" si="68"/>
        <v>0</v>
      </c>
      <c r="AM50" s="49">
        <f t="shared" si="68"/>
        <v>0</v>
      </c>
      <c r="AN50" s="49">
        <f t="shared" si="68"/>
        <v>0</v>
      </c>
      <c r="AO50" s="49">
        <f t="shared" si="68"/>
        <v>0</v>
      </c>
      <c r="AP50" s="49">
        <f t="shared" si="68"/>
        <v>0</v>
      </c>
      <c r="AQ50" s="49">
        <f t="shared" si="68"/>
        <v>0</v>
      </c>
      <c r="AR50" s="49">
        <f t="shared" si="68"/>
        <v>0</v>
      </c>
      <c r="AS50" s="49">
        <f t="shared" si="68"/>
        <v>0</v>
      </c>
      <c r="AT50" s="49">
        <f t="shared" si="68"/>
        <v>0</v>
      </c>
      <c r="AU50" s="49">
        <f t="shared" si="68"/>
        <v>0</v>
      </c>
      <c r="AV50" s="49">
        <f t="shared" si="68"/>
        <v>0</v>
      </c>
      <c r="AW50" s="49">
        <f t="shared" si="68"/>
        <v>0</v>
      </c>
      <c r="AX50" s="49">
        <f t="shared" si="68"/>
        <v>0</v>
      </c>
      <c r="AY50" s="49">
        <f t="shared" si="68"/>
        <v>0</v>
      </c>
      <c r="AZ50" s="49">
        <f t="shared" si="68"/>
        <v>0</v>
      </c>
      <c r="BA50" s="49">
        <f t="shared" si="68"/>
        <v>0</v>
      </c>
      <c r="BB50" s="49">
        <f t="shared" si="68"/>
        <v>0</v>
      </c>
      <c r="BC50" s="49">
        <f t="shared" si="68"/>
        <v>0</v>
      </c>
      <c r="BD50" s="49">
        <f t="shared" si="68"/>
        <v>0</v>
      </c>
      <c r="BE50" s="49">
        <f t="shared" si="68"/>
        <v>0</v>
      </c>
      <c r="BF50" s="49">
        <f t="shared" si="68"/>
        <v>0</v>
      </c>
      <c r="BG50" s="49">
        <f t="shared" si="68"/>
        <v>0</v>
      </c>
      <c r="BH50" s="49">
        <f t="shared" si="68"/>
        <v>0</v>
      </c>
      <c r="BI50" s="49">
        <f t="shared" si="68"/>
        <v>0</v>
      </c>
      <c r="BJ50" s="49">
        <f t="shared" si="68"/>
        <v>0</v>
      </c>
      <c r="BK50" s="49">
        <f t="shared" si="68"/>
        <v>0</v>
      </c>
      <c r="BL50" s="49">
        <f t="shared" si="68"/>
        <v>0</v>
      </c>
      <c r="BM50" s="49">
        <f t="shared" si="68"/>
        <v>0</v>
      </c>
      <c r="BN50" s="49">
        <f t="shared" si="68"/>
        <v>0</v>
      </c>
      <c r="BO50" s="49">
        <f t="shared" si="68"/>
        <v>0</v>
      </c>
      <c r="BP50" s="49">
        <f t="shared" si="68"/>
        <v>0</v>
      </c>
      <c r="BQ50" s="49">
        <f t="shared" si="68"/>
        <v>0</v>
      </c>
      <c r="BR50" s="49">
        <f t="shared" si="68"/>
        <v>0</v>
      </c>
      <c r="BS50" s="49">
        <f t="shared" ref="BS50:ED50" si="69">SUM(BS48:BS49)</f>
        <v>0</v>
      </c>
      <c r="BT50" s="49">
        <f t="shared" si="69"/>
        <v>0</v>
      </c>
      <c r="BU50" s="49">
        <f t="shared" si="69"/>
        <v>0</v>
      </c>
      <c r="BV50" s="49">
        <f t="shared" si="69"/>
        <v>0</v>
      </c>
      <c r="BW50" s="49">
        <f t="shared" si="69"/>
        <v>0</v>
      </c>
      <c r="BX50" s="49">
        <f t="shared" si="69"/>
        <v>0</v>
      </c>
      <c r="BY50" s="49">
        <f t="shared" si="69"/>
        <v>0</v>
      </c>
      <c r="BZ50" s="49">
        <f t="shared" si="69"/>
        <v>0</v>
      </c>
      <c r="CA50" s="49">
        <f t="shared" si="69"/>
        <v>0</v>
      </c>
      <c r="CB50" s="49">
        <f t="shared" si="69"/>
        <v>0</v>
      </c>
      <c r="CC50" s="49">
        <f t="shared" si="69"/>
        <v>0</v>
      </c>
      <c r="CD50" s="49">
        <f t="shared" si="69"/>
        <v>0</v>
      </c>
      <c r="CE50" s="49">
        <f t="shared" si="69"/>
        <v>0</v>
      </c>
      <c r="CF50" s="49">
        <f t="shared" si="69"/>
        <v>0</v>
      </c>
      <c r="CG50" s="49">
        <f t="shared" si="69"/>
        <v>0</v>
      </c>
      <c r="CH50" s="49">
        <f t="shared" si="69"/>
        <v>0</v>
      </c>
      <c r="CI50" s="49">
        <f t="shared" si="69"/>
        <v>0</v>
      </c>
      <c r="CJ50" s="49">
        <f t="shared" si="69"/>
        <v>0</v>
      </c>
      <c r="CK50" s="49">
        <f t="shared" si="69"/>
        <v>0</v>
      </c>
      <c r="CL50" s="49">
        <f t="shared" si="69"/>
        <v>0</v>
      </c>
      <c r="CM50" s="49">
        <f t="shared" si="69"/>
        <v>0</v>
      </c>
      <c r="CN50" s="49">
        <f t="shared" si="69"/>
        <v>0</v>
      </c>
      <c r="CO50" s="49">
        <f t="shared" si="69"/>
        <v>0</v>
      </c>
      <c r="CP50" s="49">
        <f t="shared" si="69"/>
        <v>0</v>
      </c>
      <c r="CQ50" s="49">
        <f t="shared" si="69"/>
        <v>0</v>
      </c>
      <c r="CR50" s="49">
        <f t="shared" si="69"/>
        <v>0</v>
      </c>
      <c r="CS50" s="49">
        <f t="shared" si="69"/>
        <v>0</v>
      </c>
      <c r="CT50" s="49">
        <f t="shared" si="69"/>
        <v>0</v>
      </c>
      <c r="CU50" s="49">
        <f t="shared" si="69"/>
        <v>0</v>
      </c>
      <c r="CV50" s="49">
        <f t="shared" si="69"/>
        <v>0</v>
      </c>
      <c r="CW50" s="49">
        <f t="shared" si="69"/>
        <v>0</v>
      </c>
      <c r="CX50" s="49">
        <f t="shared" si="69"/>
        <v>0</v>
      </c>
      <c r="CY50" s="49">
        <f t="shared" si="69"/>
        <v>0</v>
      </c>
      <c r="CZ50" s="49">
        <f t="shared" si="69"/>
        <v>0</v>
      </c>
      <c r="DA50" s="49">
        <f t="shared" si="69"/>
        <v>0</v>
      </c>
      <c r="DB50" s="49">
        <f t="shared" si="69"/>
        <v>0</v>
      </c>
      <c r="DC50" s="49">
        <f t="shared" si="69"/>
        <v>0</v>
      </c>
      <c r="DD50" s="49">
        <f t="shared" si="69"/>
        <v>0</v>
      </c>
      <c r="DE50" s="49">
        <f t="shared" si="69"/>
        <v>0</v>
      </c>
      <c r="DF50" s="49">
        <f t="shared" si="69"/>
        <v>0</v>
      </c>
      <c r="DG50" s="49">
        <f t="shared" si="69"/>
        <v>0</v>
      </c>
      <c r="DH50" s="49">
        <f t="shared" si="69"/>
        <v>0</v>
      </c>
      <c r="DI50" s="49">
        <f t="shared" si="69"/>
        <v>0</v>
      </c>
      <c r="DJ50" s="49">
        <f t="shared" si="69"/>
        <v>0</v>
      </c>
      <c r="DK50" s="49">
        <f t="shared" si="69"/>
        <v>0</v>
      </c>
      <c r="DL50" s="49">
        <f t="shared" si="69"/>
        <v>0</v>
      </c>
      <c r="DM50" s="49">
        <f t="shared" si="69"/>
        <v>0</v>
      </c>
      <c r="DN50" s="49">
        <f t="shared" si="69"/>
        <v>0</v>
      </c>
      <c r="DO50" s="49">
        <f t="shared" si="69"/>
        <v>0</v>
      </c>
      <c r="DP50" s="49">
        <f t="shared" si="69"/>
        <v>0</v>
      </c>
      <c r="DQ50" s="49">
        <f t="shared" si="69"/>
        <v>0</v>
      </c>
      <c r="DR50" s="49">
        <f t="shared" si="69"/>
        <v>0</v>
      </c>
      <c r="DS50" s="49">
        <f t="shared" si="69"/>
        <v>0</v>
      </c>
      <c r="DT50" s="49">
        <f t="shared" si="69"/>
        <v>0</v>
      </c>
      <c r="DU50" s="49">
        <f t="shared" si="69"/>
        <v>0</v>
      </c>
      <c r="DV50" s="49">
        <f t="shared" si="69"/>
        <v>0</v>
      </c>
      <c r="DW50" s="49">
        <f t="shared" si="69"/>
        <v>0</v>
      </c>
      <c r="DX50" s="49">
        <f t="shared" si="69"/>
        <v>0</v>
      </c>
      <c r="DY50" s="49">
        <f t="shared" si="69"/>
        <v>0</v>
      </c>
      <c r="DZ50" s="49">
        <f t="shared" si="69"/>
        <v>0</v>
      </c>
      <c r="EA50" s="49">
        <f t="shared" si="69"/>
        <v>0</v>
      </c>
      <c r="EB50" s="49">
        <f t="shared" si="69"/>
        <v>0</v>
      </c>
      <c r="EC50" s="49">
        <f t="shared" si="69"/>
        <v>0</v>
      </c>
      <c r="ED50" s="49">
        <f t="shared" si="69"/>
        <v>0</v>
      </c>
      <c r="EE50" s="49">
        <f t="shared" ref="EE50:ET50" si="70">SUM(EE48:EE49)</f>
        <v>0</v>
      </c>
      <c r="EF50" s="49">
        <f t="shared" si="70"/>
        <v>0</v>
      </c>
      <c r="EG50" s="49">
        <f t="shared" si="70"/>
        <v>0</v>
      </c>
      <c r="EH50" s="49">
        <f t="shared" si="70"/>
        <v>0</v>
      </c>
      <c r="EI50" s="49">
        <f t="shared" si="70"/>
        <v>0</v>
      </c>
      <c r="EJ50" s="49">
        <f t="shared" si="70"/>
        <v>0</v>
      </c>
      <c r="EK50" s="49">
        <f t="shared" si="70"/>
        <v>0</v>
      </c>
      <c r="EL50" s="49">
        <f t="shared" si="70"/>
        <v>0</v>
      </c>
      <c r="EM50" s="49">
        <f t="shared" si="70"/>
        <v>0</v>
      </c>
      <c r="EN50" s="49">
        <f t="shared" si="70"/>
        <v>0</v>
      </c>
      <c r="EO50" s="49">
        <f t="shared" si="70"/>
        <v>0</v>
      </c>
      <c r="EP50" s="49">
        <f t="shared" si="70"/>
        <v>0</v>
      </c>
      <c r="EQ50" s="49">
        <f t="shared" si="70"/>
        <v>0</v>
      </c>
      <c r="ER50" s="49">
        <f t="shared" si="70"/>
        <v>0</v>
      </c>
      <c r="ES50" s="49">
        <f t="shared" si="70"/>
        <v>0</v>
      </c>
      <c r="ET50" s="49">
        <f t="shared" si="70"/>
        <v>0</v>
      </c>
      <c r="EV50" s="190" t="s">
        <v>82</v>
      </c>
    </row>
    <row r="51" spans="3:152" x14ac:dyDescent="0.3">
      <c r="G51" s="50" t="b">
        <f t="shared" ref="G51:AL51" si="71">+ROUND(G50,2)=ROUND(G11,2)</f>
        <v>1</v>
      </c>
      <c r="H51" s="50" t="b">
        <f t="shared" si="71"/>
        <v>1</v>
      </c>
      <c r="I51" s="50" t="b">
        <f t="shared" si="71"/>
        <v>1</v>
      </c>
      <c r="J51" s="50" t="b">
        <f t="shared" si="71"/>
        <v>1</v>
      </c>
      <c r="K51" s="50" t="b">
        <f t="shared" si="71"/>
        <v>1</v>
      </c>
      <c r="L51" s="50" t="b">
        <f t="shared" si="71"/>
        <v>1</v>
      </c>
      <c r="M51" s="50" t="b">
        <f t="shared" si="71"/>
        <v>1</v>
      </c>
      <c r="N51" s="50" t="b">
        <f t="shared" si="71"/>
        <v>1</v>
      </c>
      <c r="O51" s="50" t="b">
        <f t="shared" si="71"/>
        <v>1</v>
      </c>
      <c r="P51" s="50" t="b">
        <f t="shared" si="71"/>
        <v>1</v>
      </c>
      <c r="Q51" s="50" t="b">
        <f t="shared" si="71"/>
        <v>1</v>
      </c>
      <c r="R51" s="50" t="b">
        <f t="shared" si="71"/>
        <v>1</v>
      </c>
      <c r="S51" s="50" t="b">
        <f t="shared" si="71"/>
        <v>1</v>
      </c>
      <c r="T51" s="50" t="b">
        <f t="shared" si="71"/>
        <v>1</v>
      </c>
      <c r="U51" s="50" t="b">
        <f t="shared" si="71"/>
        <v>1</v>
      </c>
      <c r="V51" s="50" t="b">
        <f t="shared" si="71"/>
        <v>1</v>
      </c>
      <c r="W51" s="50" t="b">
        <f t="shared" si="71"/>
        <v>1</v>
      </c>
      <c r="X51" s="50" t="b">
        <f t="shared" si="71"/>
        <v>1</v>
      </c>
      <c r="Y51" s="50" t="b">
        <f t="shared" si="71"/>
        <v>1</v>
      </c>
      <c r="Z51" s="50" t="b">
        <f t="shared" si="71"/>
        <v>1</v>
      </c>
      <c r="AA51" s="50" t="b">
        <f t="shared" si="71"/>
        <v>1</v>
      </c>
      <c r="AB51" s="50" t="b">
        <f t="shared" si="71"/>
        <v>1</v>
      </c>
      <c r="AC51" s="50" t="b">
        <f t="shared" si="71"/>
        <v>1</v>
      </c>
      <c r="AD51" s="50" t="b">
        <f t="shared" si="71"/>
        <v>1</v>
      </c>
      <c r="AE51" s="50" t="b">
        <f t="shared" si="71"/>
        <v>1</v>
      </c>
      <c r="AF51" s="50" t="b">
        <f t="shared" si="71"/>
        <v>1</v>
      </c>
      <c r="AG51" s="50" t="b">
        <f t="shared" si="71"/>
        <v>1</v>
      </c>
      <c r="AH51" s="50" t="b">
        <f t="shared" si="71"/>
        <v>1</v>
      </c>
      <c r="AI51" s="50" t="b">
        <f t="shared" si="71"/>
        <v>1</v>
      </c>
      <c r="AJ51" s="50" t="b">
        <f t="shared" si="71"/>
        <v>1</v>
      </c>
      <c r="AK51" s="50" t="b">
        <f t="shared" si="71"/>
        <v>1</v>
      </c>
      <c r="AL51" s="50" t="b">
        <f t="shared" si="71"/>
        <v>1</v>
      </c>
      <c r="AM51" s="50" t="b">
        <f t="shared" ref="AM51:BR51" si="72">+ROUND(AM50,2)=ROUND(AM11,2)</f>
        <v>1</v>
      </c>
      <c r="AN51" s="50" t="b">
        <f t="shared" si="72"/>
        <v>1</v>
      </c>
      <c r="AO51" s="50" t="b">
        <f t="shared" si="72"/>
        <v>1</v>
      </c>
      <c r="AP51" s="50" t="b">
        <f t="shared" si="72"/>
        <v>1</v>
      </c>
      <c r="AQ51" s="50" t="b">
        <f t="shared" si="72"/>
        <v>1</v>
      </c>
      <c r="AR51" s="50" t="b">
        <f t="shared" si="72"/>
        <v>1</v>
      </c>
      <c r="AS51" s="50" t="b">
        <f t="shared" si="72"/>
        <v>1</v>
      </c>
      <c r="AT51" s="50" t="b">
        <f t="shared" si="72"/>
        <v>1</v>
      </c>
      <c r="AU51" s="50" t="b">
        <f t="shared" si="72"/>
        <v>1</v>
      </c>
      <c r="AV51" s="50" t="b">
        <f t="shared" si="72"/>
        <v>1</v>
      </c>
      <c r="AW51" s="50" t="b">
        <f t="shared" si="72"/>
        <v>1</v>
      </c>
      <c r="AX51" s="50" t="b">
        <f t="shared" si="72"/>
        <v>1</v>
      </c>
      <c r="AY51" s="50" t="b">
        <f t="shared" si="72"/>
        <v>1</v>
      </c>
      <c r="AZ51" s="50" t="b">
        <f t="shared" si="72"/>
        <v>1</v>
      </c>
      <c r="BA51" s="50" t="b">
        <f t="shared" si="72"/>
        <v>1</v>
      </c>
      <c r="BB51" s="50" t="b">
        <f t="shared" si="72"/>
        <v>1</v>
      </c>
      <c r="BC51" s="50" t="b">
        <f t="shared" si="72"/>
        <v>1</v>
      </c>
      <c r="BD51" s="50" t="b">
        <f t="shared" si="72"/>
        <v>1</v>
      </c>
      <c r="BE51" s="50" t="b">
        <f t="shared" si="72"/>
        <v>1</v>
      </c>
      <c r="BF51" s="50" t="b">
        <f t="shared" si="72"/>
        <v>1</v>
      </c>
      <c r="BG51" s="50" t="b">
        <f t="shared" si="72"/>
        <v>1</v>
      </c>
      <c r="BH51" s="50" t="b">
        <f t="shared" si="72"/>
        <v>1</v>
      </c>
      <c r="BI51" s="50" t="b">
        <f t="shared" si="72"/>
        <v>1</v>
      </c>
      <c r="BJ51" s="50" t="b">
        <f t="shared" si="72"/>
        <v>1</v>
      </c>
      <c r="BK51" s="50" t="b">
        <f t="shared" si="72"/>
        <v>1</v>
      </c>
      <c r="BL51" s="50" t="b">
        <f t="shared" si="72"/>
        <v>1</v>
      </c>
      <c r="BM51" s="50" t="b">
        <f t="shared" si="72"/>
        <v>1</v>
      </c>
      <c r="BN51" s="50" t="b">
        <f t="shared" si="72"/>
        <v>1</v>
      </c>
      <c r="BO51" s="50" t="b">
        <f t="shared" si="72"/>
        <v>1</v>
      </c>
      <c r="BP51" s="50" t="b">
        <f t="shared" si="72"/>
        <v>1</v>
      </c>
      <c r="BQ51" s="50" t="b">
        <f t="shared" si="72"/>
        <v>1</v>
      </c>
      <c r="BR51" s="50" t="b">
        <f t="shared" si="72"/>
        <v>1</v>
      </c>
      <c r="BS51" s="50" t="b">
        <f t="shared" ref="BS51:ED51" si="73">+ROUND(BS50,2)=ROUND(BS11,2)</f>
        <v>1</v>
      </c>
      <c r="BT51" s="50" t="b">
        <f t="shared" si="73"/>
        <v>1</v>
      </c>
      <c r="BU51" s="50" t="b">
        <f t="shared" si="73"/>
        <v>1</v>
      </c>
      <c r="BV51" s="50" t="b">
        <f t="shared" si="73"/>
        <v>1</v>
      </c>
      <c r="BW51" s="50" t="b">
        <f t="shared" si="73"/>
        <v>1</v>
      </c>
      <c r="BX51" s="50" t="b">
        <f t="shared" si="73"/>
        <v>1</v>
      </c>
      <c r="BY51" s="50" t="b">
        <f t="shared" si="73"/>
        <v>1</v>
      </c>
      <c r="BZ51" s="50" t="b">
        <f t="shared" si="73"/>
        <v>1</v>
      </c>
      <c r="CA51" s="50" t="b">
        <f t="shared" si="73"/>
        <v>1</v>
      </c>
      <c r="CB51" s="50" t="b">
        <f t="shared" si="73"/>
        <v>1</v>
      </c>
      <c r="CC51" s="50" t="b">
        <f t="shared" si="73"/>
        <v>1</v>
      </c>
      <c r="CD51" s="50" t="b">
        <f t="shared" si="73"/>
        <v>1</v>
      </c>
      <c r="CE51" s="50" t="b">
        <f t="shared" si="73"/>
        <v>1</v>
      </c>
      <c r="CF51" s="50" t="b">
        <f t="shared" si="73"/>
        <v>1</v>
      </c>
      <c r="CG51" s="50" t="b">
        <f t="shared" si="73"/>
        <v>1</v>
      </c>
      <c r="CH51" s="50" t="b">
        <f t="shared" si="73"/>
        <v>1</v>
      </c>
      <c r="CI51" s="50" t="b">
        <f t="shared" si="73"/>
        <v>1</v>
      </c>
      <c r="CJ51" s="50" t="b">
        <f t="shared" si="73"/>
        <v>1</v>
      </c>
      <c r="CK51" s="50" t="b">
        <f t="shared" si="73"/>
        <v>1</v>
      </c>
      <c r="CL51" s="50" t="b">
        <f t="shared" si="73"/>
        <v>1</v>
      </c>
      <c r="CM51" s="50" t="b">
        <f t="shared" si="73"/>
        <v>1</v>
      </c>
      <c r="CN51" s="50" t="b">
        <f t="shared" si="73"/>
        <v>1</v>
      </c>
      <c r="CO51" s="50" t="b">
        <f t="shared" si="73"/>
        <v>1</v>
      </c>
      <c r="CP51" s="50" t="b">
        <f t="shared" si="73"/>
        <v>1</v>
      </c>
      <c r="CQ51" s="50" t="b">
        <f t="shared" si="73"/>
        <v>1</v>
      </c>
      <c r="CR51" s="50" t="b">
        <f t="shared" si="73"/>
        <v>1</v>
      </c>
      <c r="CS51" s="50" t="b">
        <f t="shared" si="73"/>
        <v>1</v>
      </c>
      <c r="CT51" s="50" t="b">
        <f t="shared" si="73"/>
        <v>1</v>
      </c>
      <c r="CU51" s="50" t="b">
        <f t="shared" si="73"/>
        <v>1</v>
      </c>
      <c r="CV51" s="50" t="b">
        <f t="shared" si="73"/>
        <v>1</v>
      </c>
      <c r="CW51" s="50" t="b">
        <f t="shared" si="73"/>
        <v>1</v>
      </c>
      <c r="CX51" s="50" t="b">
        <f t="shared" si="73"/>
        <v>1</v>
      </c>
      <c r="CY51" s="50" t="b">
        <f t="shared" si="73"/>
        <v>1</v>
      </c>
      <c r="CZ51" s="50" t="b">
        <f t="shared" si="73"/>
        <v>1</v>
      </c>
      <c r="DA51" s="50" t="b">
        <f t="shared" si="73"/>
        <v>1</v>
      </c>
      <c r="DB51" s="50" t="b">
        <f t="shared" si="73"/>
        <v>1</v>
      </c>
      <c r="DC51" s="50" t="b">
        <f t="shared" si="73"/>
        <v>1</v>
      </c>
      <c r="DD51" s="50" t="b">
        <f t="shared" si="73"/>
        <v>1</v>
      </c>
      <c r="DE51" s="50" t="b">
        <f t="shared" si="73"/>
        <v>1</v>
      </c>
      <c r="DF51" s="50" t="b">
        <f t="shared" si="73"/>
        <v>1</v>
      </c>
      <c r="DG51" s="50" t="b">
        <f t="shared" si="73"/>
        <v>1</v>
      </c>
      <c r="DH51" s="50" t="b">
        <f t="shared" si="73"/>
        <v>1</v>
      </c>
      <c r="DI51" s="50" t="b">
        <f t="shared" si="73"/>
        <v>1</v>
      </c>
      <c r="DJ51" s="50" t="b">
        <f t="shared" si="73"/>
        <v>1</v>
      </c>
      <c r="DK51" s="50" t="b">
        <f t="shared" si="73"/>
        <v>1</v>
      </c>
      <c r="DL51" s="50" t="b">
        <f t="shared" si="73"/>
        <v>1</v>
      </c>
      <c r="DM51" s="50" t="b">
        <f t="shared" si="73"/>
        <v>1</v>
      </c>
      <c r="DN51" s="50" t="b">
        <f t="shared" si="73"/>
        <v>1</v>
      </c>
      <c r="DO51" s="50" t="b">
        <f t="shared" si="73"/>
        <v>1</v>
      </c>
      <c r="DP51" s="50" t="b">
        <f t="shared" si="73"/>
        <v>1</v>
      </c>
      <c r="DQ51" s="50" t="b">
        <f t="shared" si="73"/>
        <v>1</v>
      </c>
      <c r="DR51" s="50" t="b">
        <f t="shared" si="73"/>
        <v>1</v>
      </c>
      <c r="DS51" s="50" t="b">
        <f t="shared" si="73"/>
        <v>1</v>
      </c>
      <c r="DT51" s="50" t="b">
        <f t="shared" si="73"/>
        <v>1</v>
      </c>
      <c r="DU51" s="50" t="b">
        <f t="shared" si="73"/>
        <v>1</v>
      </c>
      <c r="DV51" s="50" t="b">
        <f t="shared" si="73"/>
        <v>1</v>
      </c>
      <c r="DW51" s="50" t="b">
        <f t="shared" si="73"/>
        <v>1</v>
      </c>
      <c r="DX51" s="50" t="b">
        <f t="shared" si="73"/>
        <v>1</v>
      </c>
      <c r="DY51" s="50" t="b">
        <f t="shared" si="73"/>
        <v>1</v>
      </c>
      <c r="DZ51" s="50" t="b">
        <f t="shared" si="73"/>
        <v>1</v>
      </c>
      <c r="EA51" s="50" t="b">
        <f t="shared" si="73"/>
        <v>1</v>
      </c>
      <c r="EB51" s="50" t="b">
        <f t="shared" si="73"/>
        <v>1</v>
      </c>
      <c r="EC51" s="50" t="b">
        <f t="shared" si="73"/>
        <v>1</v>
      </c>
      <c r="ED51" s="50" t="b">
        <f t="shared" si="73"/>
        <v>1</v>
      </c>
      <c r="EE51" s="50" t="b">
        <f t="shared" ref="EE51:ET51" si="74">+ROUND(EE50,2)=ROUND(EE11,2)</f>
        <v>1</v>
      </c>
      <c r="EF51" s="50" t="b">
        <f t="shared" si="74"/>
        <v>1</v>
      </c>
      <c r="EG51" s="50" t="b">
        <f t="shared" si="74"/>
        <v>1</v>
      </c>
      <c r="EH51" s="50" t="b">
        <f t="shared" si="74"/>
        <v>1</v>
      </c>
      <c r="EI51" s="50" t="b">
        <f t="shared" si="74"/>
        <v>1</v>
      </c>
      <c r="EJ51" s="50" t="b">
        <f t="shared" si="74"/>
        <v>1</v>
      </c>
      <c r="EK51" s="50" t="b">
        <f t="shared" si="74"/>
        <v>1</v>
      </c>
      <c r="EL51" s="50" t="b">
        <f t="shared" si="74"/>
        <v>1</v>
      </c>
      <c r="EM51" s="50" t="b">
        <f t="shared" si="74"/>
        <v>1</v>
      </c>
      <c r="EN51" s="50" t="b">
        <f t="shared" si="74"/>
        <v>1</v>
      </c>
      <c r="EO51" s="50" t="b">
        <f t="shared" si="74"/>
        <v>1</v>
      </c>
      <c r="EP51" s="50" t="b">
        <f t="shared" si="74"/>
        <v>1</v>
      </c>
      <c r="EQ51" s="50" t="b">
        <f t="shared" si="74"/>
        <v>1</v>
      </c>
      <c r="ER51" s="50" t="b">
        <f t="shared" si="74"/>
        <v>1</v>
      </c>
      <c r="ES51" s="50" t="b">
        <f t="shared" si="74"/>
        <v>1</v>
      </c>
      <c r="ET51" s="50" t="b">
        <f t="shared" si="74"/>
        <v>1</v>
      </c>
      <c r="EV51" s="190" t="s">
        <v>82</v>
      </c>
    </row>
    <row r="52" spans="3:152" x14ac:dyDescent="0.3">
      <c r="G52" s="193"/>
      <c r="H52" s="193"/>
      <c r="I52" s="193"/>
      <c r="J52" s="193"/>
      <c r="K52" s="193"/>
      <c r="L52" s="193"/>
      <c r="M52" s="193"/>
      <c r="N52" s="193"/>
      <c r="O52" s="193"/>
      <c r="P52" s="193"/>
      <c r="Q52" s="193"/>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3"/>
      <c r="AS52" s="193"/>
      <c r="AT52" s="193"/>
      <c r="AU52" s="193"/>
      <c r="AV52" s="193"/>
      <c r="AW52" s="193"/>
      <c r="AX52" s="193"/>
      <c r="AY52" s="193"/>
      <c r="AZ52" s="193"/>
      <c r="BA52" s="193"/>
      <c r="BB52" s="193"/>
      <c r="BC52" s="193"/>
      <c r="BD52" s="193"/>
      <c r="BE52" s="193"/>
      <c r="BF52" s="193"/>
      <c r="BG52" s="193"/>
      <c r="BH52" s="193"/>
      <c r="BI52" s="193"/>
      <c r="BJ52" s="193"/>
      <c r="BK52" s="193"/>
      <c r="BL52" s="193"/>
      <c r="BM52" s="193"/>
      <c r="BN52" s="193"/>
      <c r="BO52" s="193"/>
      <c r="BP52" s="193"/>
      <c r="BQ52" s="193"/>
      <c r="BR52" s="193"/>
      <c r="BS52" s="193"/>
      <c r="BT52" s="193"/>
      <c r="BU52" s="193"/>
      <c r="BV52" s="193"/>
      <c r="BW52" s="193"/>
      <c r="BX52" s="193"/>
      <c r="BY52" s="193"/>
      <c r="BZ52" s="193"/>
      <c r="CA52" s="193"/>
      <c r="CB52" s="193"/>
      <c r="CC52" s="193"/>
      <c r="CD52" s="193"/>
      <c r="CE52" s="193"/>
      <c r="CF52" s="193"/>
      <c r="CG52" s="193"/>
      <c r="CH52" s="193"/>
      <c r="CI52" s="193"/>
      <c r="CJ52" s="193"/>
      <c r="CK52" s="193"/>
      <c r="CL52" s="193"/>
      <c r="CM52" s="193"/>
      <c r="CN52" s="193"/>
      <c r="CO52" s="193"/>
      <c r="CP52" s="193"/>
      <c r="CQ52" s="193"/>
      <c r="CR52" s="193"/>
      <c r="CS52" s="193"/>
      <c r="CT52" s="193"/>
      <c r="CU52" s="193"/>
      <c r="CV52" s="193"/>
      <c r="CW52" s="193"/>
      <c r="CX52" s="193"/>
      <c r="CY52" s="193"/>
      <c r="CZ52" s="193"/>
      <c r="DA52" s="193"/>
      <c r="DB52" s="193"/>
      <c r="DC52" s="193"/>
      <c r="DD52" s="193"/>
      <c r="DE52" s="193"/>
      <c r="DF52" s="193"/>
      <c r="DG52" s="193"/>
      <c r="DH52" s="193"/>
      <c r="DI52" s="193"/>
      <c r="DJ52" s="193"/>
      <c r="DK52" s="193"/>
      <c r="DL52" s="193"/>
      <c r="DM52" s="193"/>
      <c r="DN52" s="193"/>
      <c r="DO52" s="193"/>
      <c r="DP52" s="193"/>
      <c r="DQ52" s="193"/>
      <c r="DR52" s="193"/>
      <c r="DS52" s="193"/>
      <c r="DT52" s="193"/>
      <c r="DU52" s="193"/>
      <c r="DV52" s="193"/>
      <c r="DW52" s="193"/>
      <c r="DX52" s="193"/>
      <c r="DY52" s="193"/>
      <c r="DZ52" s="193"/>
      <c r="EA52" s="193"/>
      <c r="EB52" s="193"/>
      <c r="EC52" s="193"/>
      <c r="ED52" s="193"/>
      <c r="EE52" s="193"/>
      <c r="EF52" s="193"/>
      <c r="EG52" s="193"/>
      <c r="EH52" s="193"/>
      <c r="EI52" s="193"/>
      <c r="EJ52" s="193"/>
      <c r="EK52" s="193"/>
      <c r="EL52" s="193"/>
      <c r="EM52" s="193"/>
      <c r="EN52" s="193"/>
      <c r="EO52" s="193"/>
      <c r="EP52" s="193"/>
      <c r="EQ52" s="193"/>
      <c r="ER52" s="193"/>
      <c r="ES52" s="193"/>
      <c r="ET52" s="193"/>
      <c r="EV52" s="190" t="s">
        <v>82</v>
      </c>
    </row>
    <row r="53" spans="3:152" x14ac:dyDescent="0.3">
      <c r="H53" s="193"/>
      <c r="I53" s="193"/>
      <c r="J53" s="193"/>
      <c r="K53" s="193"/>
      <c r="L53" s="193"/>
      <c r="M53" s="193"/>
      <c r="N53" s="193"/>
      <c r="O53" s="193"/>
      <c r="P53" s="193"/>
      <c r="Q53" s="193"/>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193"/>
      <c r="AZ53" s="193"/>
      <c r="BA53" s="193"/>
      <c r="BB53" s="193"/>
      <c r="BC53" s="193"/>
      <c r="BD53" s="193"/>
      <c r="BE53" s="193"/>
      <c r="BF53" s="193"/>
      <c r="BG53" s="193"/>
      <c r="BH53" s="193"/>
      <c r="BI53" s="193"/>
      <c r="BJ53" s="193"/>
      <c r="BK53" s="193"/>
      <c r="BL53" s="193"/>
      <c r="BM53" s="193"/>
      <c r="BN53" s="193"/>
      <c r="BO53" s="193"/>
      <c r="BP53" s="193"/>
      <c r="BQ53" s="193"/>
      <c r="BR53" s="193"/>
      <c r="BS53" s="193"/>
      <c r="BT53" s="193"/>
      <c r="BU53" s="193"/>
      <c r="BV53" s="193"/>
      <c r="BW53" s="193"/>
      <c r="BX53" s="193"/>
      <c r="BY53" s="193"/>
      <c r="BZ53" s="193"/>
      <c r="CA53" s="193"/>
      <c r="CB53" s="193"/>
      <c r="CC53" s="193"/>
      <c r="CD53" s="193"/>
      <c r="CE53" s="193"/>
      <c r="CF53" s="193"/>
      <c r="CG53" s="193"/>
      <c r="CH53" s="193"/>
      <c r="CI53" s="193"/>
      <c r="CJ53" s="193"/>
      <c r="CK53" s="193"/>
      <c r="CL53" s="193"/>
      <c r="CM53" s="193"/>
      <c r="CN53" s="193"/>
      <c r="CO53" s="193"/>
      <c r="CP53" s="193"/>
      <c r="CQ53" s="193"/>
      <c r="CR53" s="193"/>
      <c r="CS53" s="193"/>
      <c r="CT53" s="193"/>
      <c r="CU53" s="193"/>
      <c r="CV53" s="193"/>
      <c r="CW53" s="193"/>
      <c r="CX53" s="193"/>
      <c r="CY53" s="193"/>
      <c r="CZ53" s="193"/>
      <c r="DA53" s="193"/>
      <c r="DB53" s="193"/>
      <c r="DC53" s="193"/>
      <c r="DD53" s="193"/>
      <c r="DE53" s="193"/>
      <c r="DF53" s="193"/>
      <c r="DG53" s="193"/>
      <c r="DH53" s="193"/>
      <c r="DI53" s="193"/>
      <c r="DJ53" s="193"/>
      <c r="DK53" s="193"/>
      <c r="DL53" s="193"/>
      <c r="DM53" s="193"/>
      <c r="DN53" s="193"/>
      <c r="DO53" s="193"/>
      <c r="DP53" s="193"/>
      <c r="DQ53" s="193"/>
      <c r="DR53" s="193"/>
      <c r="DS53" s="193"/>
      <c r="DT53" s="193"/>
      <c r="DU53" s="193"/>
      <c r="DV53" s="193"/>
      <c r="DW53" s="193"/>
      <c r="DX53" s="193"/>
      <c r="DY53" s="193"/>
      <c r="DZ53" s="193"/>
      <c r="EA53" s="193"/>
      <c r="EB53" s="193"/>
      <c r="EC53" s="193"/>
      <c r="ED53" s="193"/>
      <c r="EE53" s="193"/>
      <c r="EF53" s="193"/>
      <c r="EG53" s="193"/>
      <c r="EH53" s="193"/>
      <c r="EI53" s="193"/>
      <c r="EJ53" s="193"/>
      <c r="EK53" s="193"/>
      <c r="EL53" s="193"/>
      <c r="EM53" s="193"/>
      <c r="EN53" s="193"/>
      <c r="EO53" s="193"/>
      <c r="EP53" s="193"/>
      <c r="EQ53" s="193"/>
      <c r="ER53" s="193"/>
      <c r="ES53" s="193"/>
      <c r="ET53" s="193"/>
      <c r="EV53" s="190" t="s">
        <v>82</v>
      </c>
    </row>
    <row r="54" spans="3:152" ht="15" customHeight="1" x14ac:dyDescent="0.3">
      <c r="EV54" s="190" t="s">
        <v>82</v>
      </c>
    </row>
    <row r="55" spans="3:152" ht="15" customHeight="1" outlineLevel="1" x14ac:dyDescent="0.3">
      <c r="E55" s="37" t="s">
        <v>86</v>
      </c>
      <c r="F55" s="51">
        <f>G4</f>
        <v>0.1</v>
      </c>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V55" s="190" t="s">
        <v>82</v>
      </c>
    </row>
    <row r="56" spans="3:152" s="190" customFormat="1" ht="15" customHeight="1" outlineLevel="1" x14ac:dyDescent="0.3">
      <c r="E56" s="44"/>
      <c r="F56" s="53">
        <f>(1+F55)^(1/365)</f>
        <v>1.0002611578760678</v>
      </c>
      <c r="G56" s="54">
        <f t="shared" ref="G56:AL56" si="75">+G$8</f>
        <v>45292</v>
      </c>
      <c r="H56" s="54">
        <f t="shared" si="75"/>
        <v>45657</v>
      </c>
      <c r="I56" s="54">
        <f t="shared" si="75"/>
        <v>46022</v>
      </c>
      <c r="J56" s="54">
        <f t="shared" si="75"/>
        <v>46387</v>
      </c>
      <c r="K56" s="54">
        <f t="shared" si="75"/>
        <v>46752</v>
      </c>
      <c r="L56" s="54">
        <f t="shared" si="75"/>
        <v>47118</v>
      </c>
      <c r="M56" s="54">
        <f t="shared" si="75"/>
        <v>47483</v>
      </c>
      <c r="N56" s="54">
        <f t="shared" si="75"/>
        <v>47848</v>
      </c>
      <c r="O56" s="54">
        <f t="shared" si="75"/>
        <v>48213</v>
      </c>
      <c r="P56" s="54">
        <f t="shared" si="75"/>
        <v>48579</v>
      </c>
      <c r="Q56" s="54">
        <f t="shared" si="75"/>
        <v>48944</v>
      </c>
      <c r="R56" s="54">
        <f t="shared" si="75"/>
        <v>49309</v>
      </c>
      <c r="S56" s="54">
        <f t="shared" si="75"/>
        <v>0</v>
      </c>
      <c r="T56" s="54">
        <f t="shared" si="75"/>
        <v>0</v>
      </c>
      <c r="U56" s="54">
        <f t="shared" si="75"/>
        <v>0</v>
      </c>
      <c r="V56" s="54">
        <f t="shared" si="75"/>
        <v>0</v>
      </c>
      <c r="W56" s="54">
        <f t="shared" si="75"/>
        <v>0</v>
      </c>
      <c r="X56" s="54">
        <f t="shared" si="75"/>
        <v>0</v>
      </c>
      <c r="Y56" s="54">
        <f t="shared" si="75"/>
        <v>0</v>
      </c>
      <c r="Z56" s="54">
        <f t="shared" si="75"/>
        <v>0</v>
      </c>
      <c r="AA56" s="54">
        <f t="shared" si="75"/>
        <v>0</v>
      </c>
      <c r="AB56" s="54">
        <f t="shared" si="75"/>
        <v>0</v>
      </c>
      <c r="AC56" s="54">
        <f t="shared" si="75"/>
        <v>0</v>
      </c>
      <c r="AD56" s="54">
        <f t="shared" si="75"/>
        <v>0</v>
      </c>
      <c r="AE56" s="54">
        <f t="shared" si="75"/>
        <v>0</v>
      </c>
      <c r="AF56" s="54">
        <f t="shared" si="75"/>
        <v>0</v>
      </c>
      <c r="AG56" s="54">
        <f t="shared" si="75"/>
        <v>0</v>
      </c>
      <c r="AH56" s="54">
        <f t="shared" si="75"/>
        <v>0</v>
      </c>
      <c r="AI56" s="54">
        <f t="shared" si="75"/>
        <v>0</v>
      </c>
      <c r="AJ56" s="54">
        <f t="shared" si="75"/>
        <v>0</v>
      </c>
      <c r="AK56" s="54">
        <f t="shared" si="75"/>
        <v>0</v>
      </c>
      <c r="AL56" s="54">
        <f t="shared" si="75"/>
        <v>0</v>
      </c>
      <c r="AM56" s="54">
        <f t="shared" ref="AM56:BR56" si="76">+AM$8</f>
        <v>0</v>
      </c>
      <c r="AN56" s="54">
        <f t="shared" si="76"/>
        <v>0</v>
      </c>
      <c r="AO56" s="54">
        <f t="shared" si="76"/>
        <v>0</v>
      </c>
      <c r="AP56" s="54">
        <f t="shared" si="76"/>
        <v>0</v>
      </c>
      <c r="AQ56" s="54">
        <f t="shared" si="76"/>
        <v>0</v>
      </c>
      <c r="AR56" s="54">
        <f t="shared" si="76"/>
        <v>0</v>
      </c>
      <c r="AS56" s="54">
        <f t="shared" si="76"/>
        <v>0</v>
      </c>
      <c r="AT56" s="54">
        <f t="shared" si="76"/>
        <v>0</v>
      </c>
      <c r="AU56" s="54">
        <f t="shared" si="76"/>
        <v>0</v>
      </c>
      <c r="AV56" s="54">
        <f t="shared" si="76"/>
        <v>0</v>
      </c>
      <c r="AW56" s="54">
        <f t="shared" si="76"/>
        <v>0</v>
      </c>
      <c r="AX56" s="54">
        <f t="shared" si="76"/>
        <v>0</v>
      </c>
      <c r="AY56" s="54">
        <f t="shared" si="76"/>
        <v>0</v>
      </c>
      <c r="AZ56" s="54">
        <f t="shared" si="76"/>
        <v>0</v>
      </c>
      <c r="BA56" s="54">
        <f t="shared" si="76"/>
        <v>0</v>
      </c>
      <c r="BB56" s="54">
        <f t="shared" si="76"/>
        <v>0</v>
      </c>
      <c r="BC56" s="54">
        <f t="shared" si="76"/>
        <v>0</v>
      </c>
      <c r="BD56" s="54">
        <f t="shared" si="76"/>
        <v>0</v>
      </c>
      <c r="BE56" s="54">
        <f t="shared" si="76"/>
        <v>0</v>
      </c>
      <c r="BF56" s="54">
        <f t="shared" si="76"/>
        <v>0</v>
      </c>
      <c r="BG56" s="54">
        <f t="shared" si="76"/>
        <v>0</v>
      </c>
      <c r="BH56" s="54">
        <f t="shared" si="76"/>
        <v>0</v>
      </c>
      <c r="BI56" s="54">
        <f t="shared" si="76"/>
        <v>0</v>
      </c>
      <c r="BJ56" s="54">
        <f t="shared" si="76"/>
        <v>0</v>
      </c>
      <c r="BK56" s="54">
        <f t="shared" si="76"/>
        <v>0</v>
      </c>
      <c r="BL56" s="54">
        <f t="shared" si="76"/>
        <v>0</v>
      </c>
      <c r="BM56" s="54">
        <f t="shared" si="76"/>
        <v>0</v>
      </c>
      <c r="BN56" s="54">
        <f t="shared" si="76"/>
        <v>0</v>
      </c>
      <c r="BO56" s="54">
        <f t="shared" si="76"/>
        <v>0</v>
      </c>
      <c r="BP56" s="54">
        <f t="shared" si="76"/>
        <v>0</v>
      </c>
      <c r="BQ56" s="54">
        <f t="shared" si="76"/>
        <v>0</v>
      </c>
      <c r="BR56" s="54">
        <f t="shared" si="76"/>
        <v>0</v>
      </c>
      <c r="BS56" s="54">
        <f t="shared" ref="BS56:ED56" si="77">+BS$8</f>
        <v>0</v>
      </c>
      <c r="BT56" s="54">
        <f t="shared" si="77"/>
        <v>0</v>
      </c>
      <c r="BU56" s="54">
        <f t="shared" si="77"/>
        <v>0</v>
      </c>
      <c r="BV56" s="54">
        <f t="shared" si="77"/>
        <v>0</v>
      </c>
      <c r="BW56" s="54">
        <f t="shared" si="77"/>
        <v>0</v>
      </c>
      <c r="BX56" s="54">
        <f t="shared" si="77"/>
        <v>0</v>
      </c>
      <c r="BY56" s="54">
        <f t="shared" si="77"/>
        <v>0</v>
      </c>
      <c r="BZ56" s="54">
        <f t="shared" si="77"/>
        <v>0</v>
      </c>
      <c r="CA56" s="54">
        <f t="shared" si="77"/>
        <v>0</v>
      </c>
      <c r="CB56" s="54">
        <f t="shared" si="77"/>
        <v>0</v>
      </c>
      <c r="CC56" s="54">
        <f t="shared" si="77"/>
        <v>0</v>
      </c>
      <c r="CD56" s="54">
        <f t="shared" si="77"/>
        <v>0</v>
      </c>
      <c r="CE56" s="54">
        <f t="shared" si="77"/>
        <v>0</v>
      </c>
      <c r="CF56" s="54">
        <f t="shared" si="77"/>
        <v>0</v>
      </c>
      <c r="CG56" s="54">
        <f t="shared" si="77"/>
        <v>0</v>
      </c>
      <c r="CH56" s="54">
        <f t="shared" si="77"/>
        <v>0</v>
      </c>
      <c r="CI56" s="54">
        <f t="shared" si="77"/>
        <v>0</v>
      </c>
      <c r="CJ56" s="54">
        <f t="shared" si="77"/>
        <v>0</v>
      </c>
      <c r="CK56" s="54">
        <f t="shared" si="77"/>
        <v>0</v>
      </c>
      <c r="CL56" s="54">
        <f t="shared" si="77"/>
        <v>0</v>
      </c>
      <c r="CM56" s="54">
        <f t="shared" si="77"/>
        <v>0</v>
      </c>
      <c r="CN56" s="54">
        <f t="shared" si="77"/>
        <v>0</v>
      </c>
      <c r="CO56" s="54">
        <f t="shared" si="77"/>
        <v>0</v>
      </c>
      <c r="CP56" s="54">
        <f t="shared" si="77"/>
        <v>0</v>
      </c>
      <c r="CQ56" s="54">
        <f t="shared" si="77"/>
        <v>0</v>
      </c>
      <c r="CR56" s="54">
        <f t="shared" si="77"/>
        <v>0</v>
      </c>
      <c r="CS56" s="54">
        <f t="shared" si="77"/>
        <v>0</v>
      </c>
      <c r="CT56" s="54">
        <f t="shared" si="77"/>
        <v>0</v>
      </c>
      <c r="CU56" s="54">
        <f t="shared" si="77"/>
        <v>0</v>
      </c>
      <c r="CV56" s="54">
        <f t="shared" si="77"/>
        <v>0</v>
      </c>
      <c r="CW56" s="54">
        <f t="shared" si="77"/>
        <v>0</v>
      </c>
      <c r="CX56" s="54">
        <f t="shared" si="77"/>
        <v>0</v>
      </c>
      <c r="CY56" s="54">
        <f t="shared" si="77"/>
        <v>0</v>
      </c>
      <c r="CZ56" s="54">
        <f t="shared" si="77"/>
        <v>0</v>
      </c>
      <c r="DA56" s="54">
        <f t="shared" si="77"/>
        <v>0</v>
      </c>
      <c r="DB56" s="54">
        <f t="shared" si="77"/>
        <v>0</v>
      </c>
      <c r="DC56" s="54">
        <f t="shared" si="77"/>
        <v>0</v>
      </c>
      <c r="DD56" s="54">
        <f t="shared" si="77"/>
        <v>0</v>
      </c>
      <c r="DE56" s="54">
        <f t="shared" si="77"/>
        <v>0</v>
      </c>
      <c r="DF56" s="54">
        <f t="shared" si="77"/>
        <v>0</v>
      </c>
      <c r="DG56" s="54">
        <f t="shared" si="77"/>
        <v>0</v>
      </c>
      <c r="DH56" s="54">
        <f t="shared" si="77"/>
        <v>0</v>
      </c>
      <c r="DI56" s="54">
        <f t="shared" si="77"/>
        <v>0</v>
      </c>
      <c r="DJ56" s="54">
        <f t="shared" si="77"/>
        <v>0</v>
      </c>
      <c r="DK56" s="54">
        <f t="shared" si="77"/>
        <v>0</v>
      </c>
      <c r="DL56" s="54">
        <f t="shared" si="77"/>
        <v>0</v>
      </c>
      <c r="DM56" s="54">
        <f t="shared" si="77"/>
        <v>0</v>
      </c>
      <c r="DN56" s="54">
        <f t="shared" si="77"/>
        <v>0</v>
      </c>
      <c r="DO56" s="54">
        <f t="shared" si="77"/>
        <v>0</v>
      </c>
      <c r="DP56" s="54">
        <f t="shared" si="77"/>
        <v>0</v>
      </c>
      <c r="DQ56" s="54">
        <f t="shared" si="77"/>
        <v>0</v>
      </c>
      <c r="DR56" s="54">
        <f t="shared" si="77"/>
        <v>0</v>
      </c>
      <c r="DS56" s="54">
        <f t="shared" si="77"/>
        <v>0</v>
      </c>
      <c r="DT56" s="54">
        <f t="shared" si="77"/>
        <v>0</v>
      </c>
      <c r="DU56" s="54">
        <f t="shared" si="77"/>
        <v>0</v>
      </c>
      <c r="DV56" s="54">
        <f t="shared" si="77"/>
        <v>0</v>
      </c>
      <c r="DW56" s="54">
        <f t="shared" si="77"/>
        <v>0</v>
      </c>
      <c r="DX56" s="54">
        <f t="shared" si="77"/>
        <v>0</v>
      </c>
      <c r="DY56" s="54">
        <f t="shared" si="77"/>
        <v>0</v>
      </c>
      <c r="DZ56" s="54">
        <f t="shared" si="77"/>
        <v>0</v>
      </c>
      <c r="EA56" s="54">
        <f t="shared" si="77"/>
        <v>0</v>
      </c>
      <c r="EB56" s="54">
        <f t="shared" si="77"/>
        <v>0</v>
      </c>
      <c r="EC56" s="54">
        <f t="shared" si="77"/>
        <v>0</v>
      </c>
      <c r="ED56" s="54">
        <f t="shared" si="77"/>
        <v>0</v>
      </c>
      <c r="EE56" s="54">
        <f t="shared" ref="EE56:ET56" si="78">+EE$8</f>
        <v>0</v>
      </c>
      <c r="EF56" s="54">
        <f t="shared" si="78"/>
        <v>0</v>
      </c>
      <c r="EG56" s="54">
        <f t="shared" si="78"/>
        <v>0</v>
      </c>
      <c r="EH56" s="54">
        <f t="shared" si="78"/>
        <v>0</v>
      </c>
      <c r="EI56" s="54">
        <f t="shared" si="78"/>
        <v>0</v>
      </c>
      <c r="EJ56" s="54">
        <f t="shared" si="78"/>
        <v>0</v>
      </c>
      <c r="EK56" s="54">
        <f t="shared" si="78"/>
        <v>0</v>
      </c>
      <c r="EL56" s="54">
        <f t="shared" si="78"/>
        <v>0</v>
      </c>
      <c r="EM56" s="54">
        <f t="shared" si="78"/>
        <v>0</v>
      </c>
      <c r="EN56" s="54">
        <f t="shared" si="78"/>
        <v>0</v>
      </c>
      <c r="EO56" s="54">
        <f t="shared" si="78"/>
        <v>0</v>
      </c>
      <c r="EP56" s="54">
        <f t="shared" si="78"/>
        <v>0</v>
      </c>
      <c r="EQ56" s="54">
        <f t="shared" si="78"/>
        <v>0</v>
      </c>
      <c r="ER56" s="54">
        <f t="shared" si="78"/>
        <v>0</v>
      </c>
      <c r="ES56" s="54">
        <f t="shared" si="78"/>
        <v>0</v>
      </c>
      <c r="ET56" s="54">
        <f t="shared" si="78"/>
        <v>0</v>
      </c>
      <c r="EV56" s="190" t="s">
        <v>82</v>
      </c>
    </row>
    <row r="57" spans="3:152" ht="15" customHeight="1" outlineLevel="1" x14ac:dyDescent="0.3">
      <c r="E57" t="s">
        <v>93</v>
      </c>
      <c r="G57" s="198">
        <v>0</v>
      </c>
      <c r="H57" s="199">
        <f>+G62</f>
        <v>-1016124675.9072572</v>
      </c>
      <c r="I57" s="199">
        <f t="shared" ref="I57:BT57" si="79">+H62</f>
        <v>-1078014949.8114979</v>
      </c>
      <c r="J57" s="199">
        <f t="shared" si="79"/>
        <v>-1123407782.7561634</v>
      </c>
      <c r="K57" s="199">
        <f t="shared" si="79"/>
        <v>-1154810517.9372957</v>
      </c>
      <c r="L57" s="199">
        <f t="shared" si="79"/>
        <v>-1184030032.4061818</v>
      </c>
      <c r="M57" s="199">
        <f t="shared" si="79"/>
        <v>-1211666834.5712636</v>
      </c>
      <c r="N57" s="199">
        <f t="shared" si="79"/>
        <v>-1321167739.2636204</v>
      </c>
      <c r="O57" s="199">
        <f t="shared" si="79"/>
        <v>-1363407974.378412</v>
      </c>
      <c r="P57" s="199">
        <f t="shared" si="79"/>
        <v>-1406938567.4969451</v>
      </c>
      <c r="Q57" s="199">
        <f t="shared" si="79"/>
        <v>-1451649335.5462894</v>
      </c>
      <c r="R57" s="199">
        <f t="shared" si="79"/>
        <v>-86882080.095602989</v>
      </c>
      <c r="S57" s="199">
        <f t="shared" si="79"/>
        <v>-95570288.105163887</v>
      </c>
      <c r="T57" s="199">
        <f t="shared" si="79"/>
        <v>-244.59898012876511</v>
      </c>
      <c r="U57" s="199">
        <f t="shared" si="79"/>
        <v>-244.59898012876511</v>
      </c>
      <c r="V57" s="199">
        <f t="shared" si="79"/>
        <v>-244.59898012876511</v>
      </c>
      <c r="W57" s="199">
        <f t="shared" si="79"/>
        <v>-244.59898012876511</v>
      </c>
      <c r="X57" s="199">
        <f t="shared" si="79"/>
        <v>-244.59898012876511</v>
      </c>
      <c r="Y57" s="199">
        <f t="shared" si="79"/>
        <v>-244.59898012876511</v>
      </c>
      <c r="Z57" s="199">
        <f t="shared" si="79"/>
        <v>-244.59898012876511</v>
      </c>
      <c r="AA57" s="199">
        <f t="shared" si="79"/>
        <v>-244.59898012876511</v>
      </c>
      <c r="AB57" s="199">
        <f t="shared" si="79"/>
        <v>-244.59898012876511</v>
      </c>
      <c r="AC57" s="199">
        <f t="shared" si="79"/>
        <v>-244.59898012876511</v>
      </c>
      <c r="AD57" s="199">
        <f t="shared" si="79"/>
        <v>-244.59898012876511</v>
      </c>
      <c r="AE57" s="199">
        <f t="shared" si="79"/>
        <v>-244.59898012876511</v>
      </c>
      <c r="AF57" s="199">
        <f t="shared" si="79"/>
        <v>-244.59898012876511</v>
      </c>
      <c r="AG57" s="199">
        <f t="shared" si="79"/>
        <v>-244.59898012876511</v>
      </c>
      <c r="AH57" s="199">
        <f t="shared" si="79"/>
        <v>-244.59898012876511</v>
      </c>
      <c r="AI57" s="199">
        <f t="shared" si="79"/>
        <v>-244.59898012876511</v>
      </c>
      <c r="AJ57" s="199">
        <f t="shared" si="79"/>
        <v>-244.59898012876511</v>
      </c>
      <c r="AK57" s="199">
        <f t="shared" si="79"/>
        <v>-244.59898012876511</v>
      </c>
      <c r="AL57" s="199">
        <f t="shared" si="79"/>
        <v>-244.59898012876511</v>
      </c>
      <c r="AM57" s="199">
        <f t="shared" si="79"/>
        <v>-244.59898012876511</v>
      </c>
      <c r="AN57" s="199">
        <f t="shared" si="79"/>
        <v>-244.59898012876511</v>
      </c>
      <c r="AO57" s="199">
        <f t="shared" si="79"/>
        <v>-244.59898012876511</v>
      </c>
      <c r="AP57" s="199">
        <f t="shared" si="79"/>
        <v>-244.59898012876511</v>
      </c>
      <c r="AQ57" s="199">
        <f t="shared" si="79"/>
        <v>-244.59898012876511</v>
      </c>
      <c r="AR57" s="199">
        <f t="shared" si="79"/>
        <v>-244.59898012876511</v>
      </c>
      <c r="AS57" s="199">
        <f t="shared" si="79"/>
        <v>-244.59898012876511</v>
      </c>
      <c r="AT57" s="199">
        <f t="shared" si="79"/>
        <v>-244.59898012876511</v>
      </c>
      <c r="AU57" s="199">
        <f t="shared" si="79"/>
        <v>-244.59898012876511</v>
      </c>
      <c r="AV57" s="199">
        <f t="shared" si="79"/>
        <v>-244.59898012876511</v>
      </c>
      <c r="AW57" s="199">
        <f t="shared" si="79"/>
        <v>-244.59898012876511</v>
      </c>
      <c r="AX57" s="199">
        <f t="shared" si="79"/>
        <v>-244.59898012876511</v>
      </c>
      <c r="AY57" s="199">
        <f t="shared" si="79"/>
        <v>-244.59898012876511</v>
      </c>
      <c r="AZ57" s="199">
        <f t="shared" si="79"/>
        <v>-244.59898012876511</v>
      </c>
      <c r="BA57" s="199">
        <f t="shared" si="79"/>
        <v>-244.59898012876511</v>
      </c>
      <c r="BB57" s="199">
        <f t="shared" si="79"/>
        <v>-244.59898012876511</v>
      </c>
      <c r="BC57" s="199">
        <f t="shared" si="79"/>
        <v>-244.59898012876511</v>
      </c>
      <c r="BD57" s="199">
        <f t="shared" si="79"/>
        <v>-244.59898012876511</v>
      </c>
      <c r="BE57" s="199">
        <f t="shared" si="79"/>
        <v>-244.59898012876511</v>
      </c>
      <c r="BF57" s="199">
        <f t="shared" si="79"/>
        <v>-244.59898012876511</v>
      </c>
      <c r="BG57" s="199">
        <f t="shared" si="79"/>
        <v>-244.59898012876511</v>
      </c>
      <c r="BH57" s="199">
        <f t="shared" si="79"/>
        <v>-244.59898012876511</v>
      </c>
      <c r="BI57" s="199">
        <f t="shared" si="79"/>
        <v>-244.59898012876511</v>
      </c>
      <c r="BJ57" s="199">
        <f t="shared" si="79"/>
        <v>-244.59898012876511</v>
      </c>
      <c r="BK57" s="199">
        <f t="shared" si="79"/>
        <v>-244.59898012876511</v>
      </c>
      <c r="BL57" s="199">
        <f t="shared" si="79"/>
        <v>-244.59898012876511</v>
      </c>
      <c r="BM57" s="199">
        <f t="shared" si="79"/>
        <v>-244.59898012876511</v>
      </c>
      <c r="BN57" s="199">
        <f t="shared" si="79"/>
        <v>-244.59898012876511</v>
      </c>
      <c r="BO57" s="199">
        <f t="shared" si="79"/>
        <v>-244.59898012876511</v>
      </c>
      <c r="BP57" s="199">
        <f t="shared" si="79"/>
        <v>-244.59898012876511</v>
      </c>
      <c r="BQ57" s="199">
        <f t="shared" si="79"/>
        <v>-244.59898012876511</v>
      </c>
      <c r="BR57" s="199">
        <f t="shared" si="79"/>
        <v>-244.59898012876511</v>
      </c>
      <c r="BS57" s="199">
        <f t="shared" si="79"/>
        <v>-244.59898012876511</v>
      </c>
      <c r="BT57" s="199">
        <f t="shared" si="79"/>
        <v>-244.59898012876511</v>
      </c>
      <c r="BU57" s="199">
        <f t="shared" ref="BU57:EF57" si="80">+BT62</f>
        <v>-244.59898012876511</v>
      </c>
      <c r="BV57" s="199">
        <f t="shared" si="80"/>
        <v>-244.59898012876511</v>
      </c>
      <c r="BW57" s="199">
        <f t="shared" si="80"/>
        <v>-244.59898012876511</v>
      </c>
      <c r="BX57" s="199">
        <f t="shared" si="80"/>
        <v>-244.59898012876511</v>
      </c>
      <c r="BY57" s="199">
        <f t="shared" si="80"/>
        <v>-244.59898012876511</v>
      </c>
      <c r="BZ57" s="199">
        <f t="shared" si="80"/>
        <v>-244.59898012876511</v>
      </c>
      <c r="CA57" s="199">
        <f t="shared" si="80"/>
        <v>-244.59898012876511</v>
      </c>
      <c r="CB57" s="199">
        <f t="shared" si="80"/>
        <v>-244.59898012876511</v>
      </c>
      <c r="CC57" s="199">
        <f t="shared" si="80"/>
        <v>-244.59898012876511</v>
      </c>
      <c r="CD57" s="199">
        <f t="shared" si="80"/>
        <v>-244.59898012876511</v>
      </c>
      <c r="CE57" s="199">
        <f t="shared" si="80"/>
        <v>-244.59898012876511</v>
      </c>
      <c r="CF57" s="199">
        <f t="shared" si="80"/>
        <v>-244.59898012876511</v>
      </c>
      <c r="CG57" s="199">
        <f t="shared" si="80"/>
        <v>-244.59898012876511</v>
      </c>
      <c r="CH57" s="199">
        <f t="shared" si="80"/>
        <v>-244.59898012876511</v>
      </c>
      <c r="CI57" s="199">
        <f t="shared" si="80"/>
        <v>-244.59898012876511</v>
      </c>
      <c r="CJ57" s="199">
        <f t="shared" si="80"/>
        <v>-244.59898012876511</v>
      </c>
      <c r="CK57" s="199">
        <f t="shared" si="80"/>
        <v>-244.59898012876511</v>
      </c>
      <c r="CL57" s="199">
        <f t="shared" si="80"/>
        <v>-244.59898012876511</v>
      </c>
      <c r="CM57" s="199">
        <f t="shared" si="80"/>
        <v>-244.59898012876511</v>
      </c>
      <c r="CN57" s="199">
        <f t="shared" si="80"/>
        <v>-244.59898012876511</v>
      </c>
      <c r="CO57" s="199">
        <f t="shared" si="80"/>
        <v>-244.59898012876511</v>
      </c>
      <c r="CP57" s="199">
        <f t="shared" si="80"/>
        <v>-244.59898012876511</v>
      </c>
      <c r="CQ57" s="199">
        <f t="shared" si="80"/>
        <v>-244.59898012876511</v>
      </c>
      <c r="CR57" s="199">
        <f t="shared" si="80"/>
        <v>-244.59898012876511</v>
      </c>
      <c r="CS57" s="199">
        <f t="shared" si="80"/>
        <v>-244.59898012876511</v>
      </c>
      <c r="CT57" s="199">
        <f t="shared" si="80"/>
        <v>-244.59898012876511</v>
      </c>
      <c r="CU57" s="199">
        <f t="shared" si="80"/>
        <v>-244.59898012876511</v>
      </c>
      <c r="CV57" s="199">
        <f t="shared" si="80"/>
        <v>-244.59898012876511</v>
      </c>
      <c r="CW57" s="199">
        <f t="shared" si="80"/>
        <v>-244.59898012876511</v>
      </c>
      <c r="CX57" s="199">
        <f t="shared" si="80"/>
        <v>-244.59898012876511</v>
      </c>
      <c r="CY57" s="199">
        <f t="shared" si="80"/>
        <v>-244.59898012876511</v>
      </c>
      <c r="CZ57" s="199">
        <f t="shared" si="80"/>
        <v>-244.59898012876511</v>
      </c>
      <c r="DA57" s="199">
        <f t="shared" si="80"/>
        <v>-244.59898012876511</v>
      </c>
      <c r="DB57" s="199">
        <f t="shared" si="80"/>
        <v>-244.59898012876511</v>
      </c>
      <c r="DC57" s="199">
        <f t="shared" si="80"/>
        <v>-244.59898012876511</v>
      </c>
      <c r="DD57" s="199">
        <f t="shared" si="80"/>
        <v>-244.59898012876511</v>
      </c>
      <c r="DE57" s="199">
        <f t="shared" si="80"/>
        <v>-244.59898012876511</v>
      </c>
      <c r="DF57" s="199">
        <f t="shared" si="80"/>
        <v>-244.59898012876511</v>
      </c>
      <c r="DG57" s="199">
        <f t="shared" si="80"/>
        <v>-244.59898012876511</v>
      </c>
      <c r="DH57" s="199">
        <f t="shared" si="80"/>
        <v>-244.59898012876511</v>
      </c>
      <c r="DI57" s="199">
        <f t="shared" si="80"/>
        <v>-244.59898012876511</v>
      </c>
      <c r="DJ57" s="199">
        <f t="shared" si="80"/>
        <v>-244.59898012876511</v>
      </c>
      <c r="DK57" s="199">
        <f t="shared" si="80"/>
        <v>-244.59898012876511</v>
      </c>
      <c r="DL57" s="199">
        <f t="shared" si="80"/>
        <v>-244.59898012876511</v>
      </c>
      <c r="DM57" s="199">
        <f t="shared" si="80"/>
        <v>-244.59898012876511</v>
      </c>
      <c r="DN57" s="199">
        <f t="shared" si="80"/>
        <v>-244.59898012876511</v>
      </c>
      <c r="DO57" s="199">
        <f t="shared" si="80"/>
        <v>-244.59898012876511</v>
      </c>
      <c r="DP57" s="199">
        <f t="shared" si="80"/>
        <v>-244.59898012876511</v>
      </c>
      <c r="DQ57" s="199">
        <f t="shared" si="80"/>
        <v>-244.59898012876511</v>
      </c>
      <c r="DR57" s="199">
        <f t="shared" si="80"/>
        <v>-244.59898012876511</v>
      </c>
      <c r="DS57" s="199">
        <f t="shared" si="80"/>
        <v>-244.59898012876511</v>
      </c>
      <c r="DT57" s="199">
        <f t="shared" si="80"/>
        <v>-244.59898012876511</v>
      </c>
      <c r="DU57" s="199">
        <f t="shared" si="80"/>
        <v>-244.59898012876511</v>
      </c>
      <c r="DV57" s="199">
        <f t="shared" si="80"/>
        <v>-244.59898012876511</v>
      </c>
      <c r="DW57" s="199">
        <f t="shared" si="80"/>
        <v>-244.59898012876511</v>
      </c>
      <c r="DX57" s="199">
        <f t="shared" si="80"/>
        <v>-244.59898012876511</v>
      </c>
      <c r="DY57" s="199">
        <f t="shared" si="80"/>
        <v>-244.59898012876511</v>
      </c>
      <c r="DZ57" s="199">
        <f t="shared" si="80"/>
        <v>-244.59898012876511</v>
      </c>
      <c r="EA57" s="199">
        <f t="shared" si="80"/>
        <v>-244.59898012876511</v>
      </c>
      <c r="EB57" s="199">
        <f t="shared" si="80"/>
        <v>-244.59898012876511</v>
      </c>
      <c r="EC57" s="199">
        <f t="shared" si="80"/>
        <v>-244.59898012876511</v>
      </c>
      <c r="ED57" s="199">
        <f t="shared" si="80"/>
        <v>-244.59898012876511</v>
      </c>
      <c r="EE57" s="199">
        <f t="shared" si="80"/>
        <v>-244.59898012876511</v>
      </c>
      <c r="EF57" s="199">
        <f t="shared" si="80"/>
        <v>-244.59898012876511</v>
      </c>
      <c r="EG57" s="199">
        <f t="shared" ref="EG57:ET57" si="81">+EF62</f>
        <v>-244.59898012876511</v>
      </c>
      <c r="EH57" s="199">
        <f t="shared" si="81"/>
        <v>-244.59898012876511</v>
      </c>
      <c r="EI57" s="199">
        <f t="shared" si="81"/>
        <v>-244.59898012876511</v>
      </c>
      <c r="EJ57" s="199">
        <f t="shared" si="81"/>
        <v>-244.59898012876511</v>
      </c>
      <c r="EK57" s="199">
        <f t="shared" si="81"/>
        <v>-244.59898012876511</v>
      </c>
      <c r="EL57" s="199">
        <f t="shared" si="81"/>
        <v>-244.59898012876511</v>
      </c>
      <c r="EM57" s="199">
        <f t="shared" si="81"/>
        <v>-244.59898012876511</v>
      </c>
      <c r="EN57" s="199">
        <f t="shared" si="81"/>
        <v>-244.59898012876511</v>
      </c>
      <c r="EO57" s="199">
        <f t="shared" si="81"/>
        <v>-244.59898012876511</v>
      </c>
      <c r="EP57" s="199">
        <f t="shared" si="81"/>
        <v>-244.59898012876511</v>
      </c>
      <c r="EQ57" s="199">
        <f t="shared" si="81"/>
        <v>-244.59898012876511</v>
      </c>
      <c r="ER57" s="199">
        <f t="shared" si="81"/>
        <v>-244.59898012876511</v>
      </c>
      <c r="ES57" s="199">
        <f t="shared" si="81"/>
        <v>-244.59898012876511</v>
      </c>
      <c r="ET57" s="199">
        <f t="shared" si="81"/>
        <v>-244.59898012876511</v>
      </c>
      <c r="EV57" s="190" t="s">
        <v>82</v>
      </c>
    </row>
    <row r="58" spans="3:152" ht="15" customHeight="1" outlineLevel="1" x14ac:dyDescent="0.3">
      <c r="E58" t="s">
        <v>94</v>
      </c>
      <c r="G58" s="199">
        <f t="shared" ref="G58:BR58" si="82">SUM(G$17)</f>
        <v>-1016124675.9072572</v>
      </c>
      <c r="H58" s="199">
        <f t="shared" si="82"/>
        <v>0</v>
      </c>
      <c r="I58" s="199">
        <f t="shared" si="82"/>
        <v>0</v>
      </c>
      <c r="J58" s="199">
        <f t="shared" si="82"/>
        <v>0</v>
      </c>
      <c r="K58" s="199">
        <f t="shared" si="82"/>
        <v>0</v>
      </c>
      <c r="L58" s="199">
        <f t="shared" si="82"/>
        <v>0</v>
      </c>
      <c r="M58" s="199">
        <f t="shared" si="82"/>
        <v>0</v>
      </c>
      <c r="N58" s="199">
        <f t="shared" si="82"/>
        <v>0</v>
      </c>
      <c r="O58" s="199">
        <f t="shared" si="82"/>
        <v>0</v>
      </c>
      <c r="P58" s="199">
        <f t="shared" si="82"/>
        <v>0</v>
      </c>
      <c r="Q58" s="199">
        <f t="shared" si="82"/>
        <v>0</v>
      </c>
      <c r="R58" s="199">
        <f t="shared" si="82"/>
        <v>0</v>
      </c>
      <c r="S58" s="199">
        <f t="shared" si="82"/>
        <v>0</v>
      </c>
      <c r="T58" s="199">
        <f t="shared" si="82"/>
        <v>0</v>
      </c>
      <c r="U58" s="199">
        <f t="shared" si="82"/>
        <v>0</v>
      </c>
      <c r="V58" s="199">
        <f t="shared" si="82"/>
        <v>0</v>
      </c>
      <c r="W58" s="199">
        <f t="shared" si="82"/>
        <v>0</v>
      </c>
      <c r="X58" s="199">
        <f t="shared" si="82"/>
        <v>0</v>
      </c>
      <c r="Y58" s="199">
        <f t="shared" si="82"/>
        <v>0</v>
      </c>
      <c r="Z58" s="199">
        <f t="shared" si="82"/>
        <v>0</v>
      </c>
      <c r="AA58" s="199">
        <f t="shared" si="82"/>
        <v>0</v>
      </c>
      <c r="AB58" s="199">
        <f t="shared" si="82"/>
        <v>0</v>
      </c>
      <c r="AC58" s="199">
        <f t="shared" si="82"/>
        <v>0</v>
      </c>
      <c r="AD58" s="199">
        <f t="shared" si="82"/>
        <v>0</v>
      </c>
      <c r="AE58" s="199">
        <f t="shared" si="82"/>
        <v>0</v>
      </c>
      <c r="AF58" s="199">
        <f t="shared" si="82"/>
        <v>0</v>
      </c>
      <c r="AG58" s="199">
        <f t="shared" si="82"/>
        <v>0</v>
      </c>
      <c r="AH58" s="199">
        <f t="shared" si="82"/>
        <v>0</v>
      </c>
      <c r="AI58" s="199">
        <f t="shared" si="82"/>
        <v>0</v>
      </c>
      <c r="AJ58" s="199">
        <f t="shared" si="82"/>
        <v>0</v>
      </c>
      <c r="AK58" s="199">
        <f t="shared" si="82"/>
        <v>0</v>
      </c>
      <c r="AL58" s="199">
        <f t="shared" si="82"/>
        <v>0</v>
      </c>
      <c r="AM58" s="199">
        <f t="shared" si="82"/>
        <v>0</v>
      </c>
      <c r="AN58" s="199">
        <f t="shared" si="82"/>
        <v>0</v>
      </c>
      <c r="AO58" s="199">
        <f t="shared" si="82"/>
        <v>0</v>
      </c>
      <c r="AP58" s="199">
        <f t="shared" si="82"/>
        <v>0</v>
      </c>
      <c r="AQ58" s="199">
        <f t="shared" si="82"/>
        <v>0</v>
      </c>
      <c r="AR58" s="199">
        <f t="shared" si="82"/>
        <v>0</v>
      </c>
      <c r="AS58" s="199">
        <f t="shared" si="82"/>
        <v>0</v>
      </c>
      <c r="AT58" s="199">
        <f t="shared" si="82"/>
        <v>0</v>
      </c>
      <c r="AU58" s="199">
        <f t="shared" si="82"/>
        <v>0</v>
      </c>
      <c r="AV58" s="199">
        <f t="shared" si="82"/>
        <v>0</v>
      </c>
      <c r="AW58" s="199">
        <f t="shared" si="82"/>
        <v>0</v>
      </c>
      <c r="AX58" s="199">
        <f t="shared" si="82"/>
        <v>0</v>
      </c>
      <c r="AY58" s="199">
        <f t="shared" si="82"/>
        <v>0</v>
      </c>
      <c r="AZ58" s="199">
        <f t="shared" si="82"/>
        <v>0</v>
      </c>
      <c r="BA58" s="199">
        <f t="shared" si="82"/>
        <v>0</v>
      </c>
      <c r="BB58" s="199">
        <f t="shared" si="82"/>
        <v>0</v>
      </c>
      <c r="BC58" s="199">
        <f t="shared" si="82"/>
        <v>0</v>
      </c>
      <c r="BD58" s="199">
        <f t="shared" si="82"/>
        <v>0</v>
      </c>
      <c r="BE58" s="199">
        <f t="shared" si="82"/>
        <v>0</v>
      </c>
      <c r="BF58" s="199">
        <f t="shared" si="82"/>
        <v>0</v>
      </c>
      <c r="BG58" s="199">
        <f t="shared" si="82"/>
        <v>0</v>
      </c>
      <c r="BH58" s="199">
        <f t="shared" si="82"/>
        <v>0</v>
      </c>
      <c r="BI58" s="199">
        <f t="shared" si="82"/>
        <v>0</v>
      </c>
      <c r="BJ58" s="199">
        <f t="shared" si="82"/>
        <v>0</v>
      </c>
      <c r="BK58" s="199">
        <f t="shared" si="82"/>
        <v>0</v>
      </c>
      <c r="BL58" s="199">
        <f t="shared" si="82"/>
        <v>0</v>
      </c>
      <c r="BM58" s="199">
        <f t="shared" si="82"/>
        <v>0</v>
      </c>
      <c r="BN58" s="199">
        <f t="shared" si="82"/>
        <v>0</v>
      </c>
      <c r="BO58" s="199">
        <f t="shared" si="82"/>
        <v>0</v>
      </c>
      <c r="BP58" s="199">
        <f t="shared" si="82"/>
        <v>0</v>
      </c>
      <c r="BQ58" s="199">
        <f t="shared" si="82"/>
        <v>0</v>
      </c>
      <c r="BR58" s="199">
        <f t="shared" si="82"/>
        <v>0</v>
      </c>
      <c r="BS58" s="199">
        <f t="shared" ref="BS58:ED58" si="83">SUM(BS$17)</f>
        <v>0</v>
      </c>
      <c r="BT58" s="199">
        <f t="shared" si="83"/>
        <v>0</v>
      </c>
      <c r="BU58" s="199">
        <f t="shared" si="83"/>
        <v>0</v>
      </c>
      <c r="BV58" s="199">
        <f t="shared" si="83"/>
        <v>0</v>
      </c>
      <c r="BW58" s="199">
        <f t="shared" si="83"/>
        <v>0</v>
      </c>
      <c r="BX58" s="199">
        <f t="shared" si="83"/>
        <v>0</v>
      </c>
      <c r="BY58" s="199">
        <f t="shared" si="83"/>
        <v>0</v>
      </c>
      <c r="BZ58" s="199">
        <f t="shared" si="83"/>
        <v>0</v>
      </c>
      <c r="CA58" s="199">
        <f t="shared" si="83"/>
        <v>0</v>
      </c>
      <c r="CB58" s="199">
        <f t="shared" si="83"/>
        <v>0</v>
      </c>
      <c r="CC58" s="199">
        <f t="shared" si="83"/>
        <v>0</v>
      </c>
      <c r="CD58" s="199">
        <f t="shared" si="83"/>
        <v>0</v>
      </c>
      <c r="CE58" s="199">
        <f t="shared" si="83"/>
        <v>0</v>
      </c>
      <c r="CF58" s="199">
        <f t="shared" si="83"/>
        <v>0</v>
      </c>
      <c r="CG58" s="199">
        <f t="shared" si="83"/>
        <v>0</v>
      </c>
      <c r="CH58" s="199">
        <f t="shared" si="83"/>
        <v>0</v>
      </c>
      <c r="CI58" s="199">
        <f t="shared" si="83"/>
        <v>0</v>
      </c>
      <c r="CJ58" s="199">
        <f t="shared" si="83"/>
        <v>0</v>
      </c>
      <c r="CK58" s="199">
        <f t="shared" si="83"/>
        <v>0</v>
      </c>
      <c r="CL58" s="199">
        <f t="shared" si="83"/>
        <v>0</v>
      </c>
      <c r="CM58" s="199">
        <f t="shared" si="83"/>
        <v>0</v>
      </c>
      <c r="CN58" s="199">
        <f t="shared" si="83"/>
        <v>0</v>
      </c>
      <c r="CO58" s="199">
        <f t="shared" si="83"/>
        <v>0</v>
      </c>
      <c r="CP58" s="199">
        <f t="shared" si="83"/>
        <v>0</v>
      </c>
      <c r="CQ58" s="199">
        <f t="shared" si="83"/>
        <v>0</v>
      </c>
      <c r="CR58" s="199">
        <f t="shared" si="83"/>
        <v>0</v>
      </c>
      <c r="CS58" s="199">
        <f t="shared" si="83"/>
        <v>0</v>
      </c>
      <c r="CT58" s="199">
        <f t="shared" si="83"/>
        <v>0</v>
      </c>
      <c r="CU58" s="199">
        <f t="shared" si="83"/>
        <v>0</v>
      </c>
      <c r="CV58" s="199">
        <f t="shared" si="83"/>
        <v>0</v>
      </c>
      <c r="CW58" s="199">
        <f t="shared" si="83"/>
        <v>0</v>
      </c>
      <c r="CX58" s="199">
        <f t="shared" si="83"/>
        <v>0</v>
      </c>
      <c r="CY58" s="199">
        <f t="shared" si="83"/>
        <v>0</v>
      </c>
      <c r="CZ58" s="199">
        <f t="shared" si="83"/>
        <v>0</v>
      </c>
      <c r="DA58" s="199">
        <f t="shared" si="83"/>
        <v>0</v>
      </c>
      <c r="DB58" s="199">
        <f t="shared" si="83"/>
        <v>0</v>
      </c>
      <c r="DC58" s="199">
        <f t="shared" si="83"/>
        <v>0</v>
      </c>
      <c r="DD58" s="199">
        <f t="shared" si="83"/>
        <v>0</v>
      </c>
      <c r="DE58" s="199">
        <f t="shared" si="83"/>
        <v>0</v>
      </c>
      <c r="DF58" s="199">
        <f t="shared" si="83"/>
        <v>0</v>
      </c>
      <c r="DG58" s="199">
        <f t="shared" si="83"/>
        <v>0</v>
      </c>
      <c r="DH58" s="199">
        <f t="shared" si="83"/>
        <v>0</v>
      </c>
      <c r="DI58" s="199">
        <f t="shared" si="83"/>
        <v>0</v>
      </c>
      <c r="DJ58" s="199">
        <f t="shared" si="83"/>
        <v>0</v>
      </c>
      <c r="DK58" s="199">
        <f t="shared" si="83"/>
        <v>0</v>
      </c>
      <c r="DL58" s="199">
        <f t="shared" si="83"/>
        <v>0</v>
      </c>
      <c r="DM58" s="199">
        <f t="shared" si="83"/>
        <v>0</v>
      </c>
      <c r="DN58" s="199">
        <f t="shared" si="83"/>
        <v>0</v>
      </c>
      <c r="DO58" s="199">
        <f t="shared" si="83"/>
        <v>0</v>
      </c>
      <c r="DP58" s="199">
        <f t="shared" si="83"/>
        <v>0</v>
      </c>
      <c r="DQ58" s="199">
        <f t="shared" si="83"/>
        <v>0</v>
      </c>
      <c r="DR58" s="199">
        <f t="shared" si="83"/>
        <v>0</v>
      </c>
      <c r="DS58" s="199">
        <f t="shared" si="83"/>
        <v>0</v>
      </c>
      <c r="DT58" s="199">
        <f t="shared" si="83"/>
        <v>0</v>
      </c>
      <c r="DU58" s="199">
        <f t="shared" si="83"/>
        <v>0</v>
      </c>
      <c r="DV58" s="199">
        <f t="shared" si="83"/>
        <v>0</v>
      </c>
      <c r="DW58" s="199">
        <f t="shared" si="83"/>
        <v>0</v>
      </c>
      <c r="DX58" s="199">
        <f t="shared" si="83"/>
        <v>0</v>
      </c>
      <c r="DY58" s="199">
        <f t="shared" si="83"/>
        <v>0</v>
      </c>
      <c r="DZ58" s="199">
        <f t="shared" si="83"/>
        <v>0</v>
      </c>
      <c r="EA58" s="199">
        <f t="shared" si="83"/>
        <v>0</v>
      </c>
      <c r="EB58" s="199">
        <f t="shared" si="83"/>
        <v>0</v>
      </c>
      <c r="EC58" s="199">
        <f t="shared" si="83"/>
        <v>0</v>
      </c>
      <c r="ED58" s="199">
        <f t="shared" si="83"/>
        <v>0</v>
      </c>
      <c r="EE58" s="199">
        <f t="shared" ref="EE58:ET58" si="84">SUM(EE$17)</f>
        <v>0</v>
      </c>
      <c r="EF58" s="199">
        <f t="shared" si="84"/>
        <v>0</v>
      </c>
      <c r="EG58" s="199">
        <f t="shared" si="84"/>
        <v>0</v>
      </c>
      <c r="EH58" s="199">
        <f t="shared" si="84"/>
        <v>0</v>
      </c>
      <c r="EI58" s="199">
        <f t="shared" si="84"/>
        <v>0</v>
      </c>
      <c r="EJ58" s="199">
        <f t="shared" si="84"/>
        <v>0</v>
      </c>
      <c r="EK58" s="199">
        <f t="shared" si="84"/>
        <v>0</v>
      </c>
      <c r="EL58" s="199">
        <f t="shared" si="84"/>
        <v>0</v>
      </c>
      <c r="EM58" s="199">
        <f t="shared" si="84"/>
        <v>0</v>
      </c>
      <c r="EN58" s="199">
        <f t="shared" si="84"/>
        <v>0</v>
      </c>
      <c r="EO58" s="199">
        <f t="shared" si="84"/>
        <v>0</v>
      </c>
      <c r="EP58" s="199">
        <f t="shared" si="84"/>
        <v>0</v>
      </c>
      <c r="EQ58" s="199">
        <f t="shared" si="84"/>
        <v>0</v>
      </c>
      <c r="ER58" s="199">
        <f t="shared" si="84"/>
        <v>0</v>
      </c>
      <c r="ES58" s="199">
        <f t="shared" si="84"/>
        <v>0</v>
      </c>
      <c r="ET58" s="199">
        <f t="shared" si="84"/>
        <v>0</v>
      </c>
      <c r="EV58" s="190" t="s">
        <v>82</v>
      </c>
    </row>
    <row r="59" spans="3:152" ht="15" customHeight="1" outlineLevel="1" x14ac:dyDescent="0.3">
      <c r="E59" t="s">
        <v>95</v>
      </c>
      <c r="G59" s="199">
        <v>0</v>
      </c>
      <c r="H59" s="199">
        <f t="shared" ref="H59:BS59" si="85">H57*$F$56^(H56-G56)-H57</f>
        <v>-101612467.59073269</v>
      </c>
      <c r="I59" s="199">
        <f t="shared" si="85"/>
        <v>-107801494.9811573</v>
      </c>
      <c r="J59" s="199">
        <f t="shared" si="85"/>
        <v>-112340778.27562428</v>
      </c>
      <c r="K59" s="199">
        <f t="shared" si="85"/>
        <v>-115481051.79373765</v>
      </c>
      <c r="L59" s="199">
        <f t="shared" si="85"/>
        <v>-118743143.8859365</v>
      </c>
      <c r="M59" s="199">
        <f t="shared" si="85"/>
        <v>-121166683.45713472</v>
      </c>
      <c r="N59" s="199">
        <f t="shared" si="85"/>
        <v>-132116773.92637134</v>
      </c>
      <c r="O59" s="199">
        <f t="shared" si="85"/>
        <v>-136340797.43785071</v>
      </c>
      <c r="P59" s="199">
        <f t="shared" si="85"/>
        <v>-141098033.14655423</v>
      </c>
      <c r="Q59" s="199">
        <f t="shared" si="85"/>
        <v>-145164933.5546391</v>
      </c>
      <c r="R59" s="199">
        <f t="shared" si="85"/>
        <v>-8688208.0095608979</v>
      </c>
      <c r="S59" s="199">
        <f>S57*$F$56^(S56-R56)-S57</f>
        <v>95570043.506183758</v>
      </c>
      <c r="T59" s="199">
        <f t="shared" si="85"/>
        <v>0</v>
      </c>
      <c r="U59" s="199">
        <f t="shared" si="85"/>
        <v>0</v>
      </c>
      <c r="V59" s="199">
        <f t="shared" si="85"/>
        <v>0</v>
      </c>
      <c r="W59" s="199">
        <f t="shared" si="85"/>
        <v>0</v>
      </c>
      <c r="X59" s="199">
        <f t="shared" si="85"/>
        <v>0</v>
      </c>
      <c r="Y59" s="199">
        <f t="shared" si="85"/>
        <v>0</v>
      </c>
      <c r="Z59" s="199">
        <f t="shared" si="85"/>
        <v>0</v>
      </c>
      <c r="AA59" s="199">
        <f t="shared" si="85"/>
        <v>0</v>
      </c>
      <c r="AB59" s="199">
        <f t="shared" si="85"/>
        <v>0</v>
      </c>
      <c r="AC59" s="199">
        <f t="shared" si="85"/>
        <v>0</v>
      </c>
      <c r="AD59" s="199">
        <f t="shared" si="85"/>
        <v>0</v>
      </c>
      <c r="AE59" s="199">
        <f t="shared" si="85"/>
        <v>0</v>
      </c>
      <c r="AF59" s="199">
        <f t="shared" si="85"/>
        <v>0</v>
      </c>
      <c r="AG59" s="199">
        <f t="shared" si="85"/>
        <v>0</v>
      </c>
      <c r="AH59" s="199">
        <f t="shared" si="85"/>
        <v>0</v>
      </c>
      <c r="AI59" s="199">
        <f t="shared" si="85"/>
        <v>0</v>
      </c>
      <c r="AJ59" s="199">
        <f t="shared" si="85"/>
        <v>0</v>
      </c>
      <c r="AK59" s="199">
        <f t="shared" si="85"/>
        <v>0</v>
      </c>
      <c r="AL59" s="199">
        <f t="shared" si="85"/>
        <v>0</v>
      </c>
      <c r="AM59" s="199">
        <f t="shared" si="85"/>
        <v>0</v>
      </c>
      <c r="AN59" s="199">
        <f t="shared" si="85"/>
        <v>0</v>
      </c>
      <c r="AO59" s="199">
        <f t="shared" si="85"/>
        <v>0</v>
      </c>
      <c r="AP59" s="199">
        <f t="shared" si="85"/>
        <v>0</v>
      </c>
      <c r="AQ59" s="199">
        <f t="shared" si="85"/>
        <v>0</v>
      </c>
      <c r="AR59" s="199">
        <f t="shared" si="85"/>
        <v>0</v>
      </c>
      <c r="AS59" s="199">
        <f t="shared" si="85"/>
        <v>0</v>
      </c>
      <c r="AT59" s="199">
        <f t="shared" si="85"/>
        <v>0</v>
      </c>
      <c r="AU59" s="199">
        <f t="shared" si="85"/>
        <v>0</v>
      </c>
      <c r="AV59" s="199">
        <f t="shared" si="85"/>
        <v>0</v>
      </c>
      <c r="AW59" s="199">
        <f t="shared" si="85"/>
        <v>0</v>
      </c>
      <c r="AX59" s="199">
        <f t="shared" si="85"/>
        <v>0</v>
      </c>
      <c r="AY59" s="199">
        <f t="shared" si="85"/>
        <v>0</v>
      </c>
      <c r="AZ59" s="199">
        <f t="shared" si="85"/>
        <v>0</v>
      </c>
      <c r="BA59" s="199">
        <f t="shared" si="85"/>
        <v>0</v>
      </c>
      <c r="BB59" s="199">
        <f t="shared" si="85"/>
        <v>0</v>
      </c>
      <c r="BC59" s="199">
        <f t="shared" si="85"/>
        <v>0</v>
      </c>
      <c r="BD59" s="199">
        <f t="shared" si="85"/>
        <v>0</v>
      </c>
      <c r="BE59" s="199">
        <f t="shared" si="85"/>
        <v>0</v>
      </c>
      <c r="BF59" s="199">
        <f t="shared" si="85"/>
        <v>0</v>
      </c>
      <c r="BG59" s="199">
        <f t="shared" si="85"/>
        <v>0</v>
      </c>
      <c r="BH59" s="199">
        <f t="shared" si="85"/>
        <v>0</v>
      </c>
      <c r="BI59" s="199">
        <f t="shared" si="85"/>
        <v>0</v>
      </c>
      <c r="BJ59" s="199">
        <f t="shared" si="85"/>
        <v>0</v>
      </c>
      <c r="BK59" s="199">
        <f t="shared" si="85"/>
        <v>0</v>
      </c>
      <c r="BL59" s="199">
        <f t="shared" si="85"/>
        <v>0</v>
      </c>
      <c r="BM59" s="199">
        <f t="shared" si="85"/>
        <v>0</v>
      </c>
      <c r="BN59" s="199">
        <f t="shared" si="85"/>
        <v>0</v>
      </c>
      <c r="BO59" s="199">
        <f t="shared" si="85"/>
        <v>0</v>
      </c>
      <c r="BP59" s="199">
        <f t="shared" si="85"/>
        <v>0</v>
      </c>
      <c r="BQ59" s="199">
        <f t="shared" si="85"/>
        <v>0</v>
      </c>
      <c r="BR59" s="199">
        <f t="shared" si="85"/>
        <v>0</v>
      </c>
      <c r="BS59" s="199">
        <f t="shared" si="85"/>
        <v>0</v>
      </c>
      <c r="BT59" s="199">
        <f t="shared" ref="BT59:EE59" si="86">BT57*$F$56^(BT56-BS56)-BT57</f>
        <v>0</v>
      </c>
      <c r="BU59" s="199">
        <f t="shared" si="86"/>
        <v>0</v>
      </c>
      <c r="BV59" s="199">
        <f t="shared" si="86"/>
        <v>0</v>
      </c>
      <c r="BW59" s="199">
        <f t="shared" si="86"/>
        <v>0</v>
      </c>
      <c r="BX59" s="199">
        <f t="shared" si="86"/>
        <v>0</v>
      </c>
      <c r="BY59" s="199">
        <f t="shared" si="86"/>
        <v>0</v>
      </c>
      <c r="BZ59" s="199">
        <f t="shared" si="86"/>
        <v>0</v>
      </c>
      <c r="CA59" s="199">
        <f t="shared" si="86"/>
        <v>0</v>
      </c>
      <c r="CB59" s="199">
        <f t="shared" si="86"/>
        <v>0</v>
      </c>
      <c r="CC59" s="199">
        <f t="shared" si="86"/>
        <v>0</v>
      </c>
      <c r="CD59" s="199">
        <f t="shared" si="86"/>
        <v>0</v>
      </c>
      <c r="CE59" s="199">
        <f t="shared" si="86"/>
        <v>0</v>
      </c>
      <c r="CF59" s="199">
        <f t="shared" si="86"/>
        <v>0</v>
      </c>
      <c r="CG59" s="199">
        <f t="shared" si="86"/>
        <v>0</v>
      </c>
      <c r="CH59" s="199">
        <f t="shared" si="86"/>
        <v>0</v>
      </c>
      <c r="CI59" s="199">
        <f t="shared" si="86"/>
        <v>0</v>
      </c>
      <c r="CJ59" s="199">
        <f t="shared" si="86"/>
        <v>0</v>
      </c>
      <c r="CK59" s="199">
        <f t="shared" si="86"/>
        <v>0</v>
      </c>
      <c r="CL59" s="199">
        <f t="shared" si="86"/>
        <v>0</v>
      </c>
      <c r="CM59" s="199">
        <f t="shared" si="86"/>
        <v>0</v>
      </c>
      <c r="CN59" s="199">
        <f t="shared" si="86"/>
        <v>0</v>
      </c>
      <c r="CO59" s="199">
        <f t="shared" si="86"/>
        <v>0</v>
      </c>
      <c r="CP59" s="199">
        <f t="shared" si="86"/>
        <v>0</v>
      </c>
      <c r="CQ59" s="199">
        <f t="shared" si="86"/>
        <v>0</v>
      </c>
      <c r="CR59" s="199">
        <f t="shared" si="86"/>
        <v>0</v>
      </c>
      <c r="CS59" s="199">
        <f t="shared" si="86"/>
        <v>0</v>
      </c>
      <c r="CT59" s="199">
        <f t="shared" si="86"/>
        <v>0</v>
      </c>
      <c r="CU59" s="199">
        <f t="shared" si="86"/>
        <v>0</v>
      </c>
      <c r="CV59" s="199">
        <f t="shared" si="86"/>
        <v>0</v>
      </c>
      <c r="CW59" s="199">
        <f t="shared" si="86"/>
        <v>0</v>
      </c>
      <c r="CX59" s="199">
        <f t="shared" si="86"/>
        <v>0</v>
      </c>
      <c r="CY59" s="199">
        <f t="shared" si="86"/>
        <v>0</v>
      </c>
      <c r="CZ59" s="199">
        <f t="shared" si="86"/>
        <v>0</v>
      </c>
      <c r="DA59" s="199">
        <f t="shared" si="86"/>
        <v>0</v>
      </c>
      <c r="DB59" s="199">
        <f t="shared" si="86"/>
        <v>0</v>
      </c>
      <c r="DC59" s="199">
        <f t="shared" si="86"/>
        <v>0</v>
      </c>
      <c r="DD59" s="199">
        <f t="shared" si="86"/>
        <v>0</v>
      </c>
      <c r="DE59" s="199">
        <f t="shared" si="86"/>
        <v>0</v>
      </c>
      <c r="DF59" s="199">
        <f t="shared" si="86"/>
        <v>0</v>
      </c>
      <c r="DG59" s="199">
        <f t="shared" si="86"/>
        <v>0</v>
      </c>
      <c r="DH59" s="199">
        <f t="shared" si="86"/>
        <v>0</v>
      </c>
      <c r="DI59" s="199">
        <f t="shared" si="86"/>
        <v>0</v>
      </c>
      <c r="DJ59" s="199">
        <f t="shared" si="86"/>
        <v>0</v>
      </c>
      <c r="DK59" s="199">
        <f t="shared" si="86"/>
        <v>0</v>
      </c>
      <c r="DL59" s="199">
        <f t="shared" si="86"/>
        <v>0</v>
      </c>
      <c r="DM59" s="199">
        <f t="shared" si="86"/>
        <v>0</v>
      </c>
      <c r="DN59" s="199">
        <f t="shared" si="86"/>
        <v>0</v>
      </c>
      <c r="DO59" s="199">
        <f t="shared" si="86"/>
        <v>0</v>
      </c>
      <c r="DP59" s="199">
        <f t="shared" si="86"/>
        <v>0</v>
      </c>
      <c r="DQ59" s="199">
        <f t="shared" si="86"/>
        <v>0</v>
      </c>
      <c r="DR59" s="199">
        <f t="shared" si="86"/>
        <v>0</v>
      </c>
      <c r="DS59" s="199">
        <f t="shared" si="86"/>
        <v>0</v>
      </c>
      <c r="DT59" s="199">
        <f t="shared" si="86"/>
        <v>0</v>
      </c>
      <c r="DU59" s="199">
        <f t="shared" si="86"/>
        <v>0</v>
      </c>
      <c r="DV59" s="199">
        <f t="shared" si="86"/>
        <v>0</v>
      </c>
      <c r="DW59" s="199">
        <f t="shared" si="86"/>
        <v>0</v>
      </c>
      <c r="DX59" s="199">
        <f t="shared" si="86"/>
        <v>0</v>
      </c>
      <c r="DY59" s="199">
        <f t="shared" si="86"/>
        <v>0</v>
      </c>
      <c r="DZ59" s="199">
        <f t="shared" si="86"/>
        <v>0</v>
      </c>
      <c r="EA59" s="199">
        <f t="shared" si="86"/>
        <v>0</v>
      </c>
      <c r="EB59" s="199">
        <f t="shared" si="86"/>
        <v>0</v>
      </c>
      <c r="EC59" s="199">
        <f t="shared" si="86"/>
        <v>0</v>
      </c>
      <c r="ED59" s="199">
        <f t="shared" si="86"/>
        <v>0</v>
      </c>
      <c r="EE59" s="199">
        <f t="shared" si="86"/>
        <v>0</v>
      </c>
      <c r="EF59" s="199">
        <f t="shared" ref="EF59:ET59" si="87">EF57*$F$56^(EF56-EE56)-EF57</f>
        <v>0</v>
      </c>
      <c r="EG59" s="199">
        <f t="shared" si="87"/>
        <v>0</v>
      </c>
      <c r="EH59" s="199">
        <f t="shared" si="87"/>
        <v>0</v>
      </c>
      <c r="EI59" s="199">
        <f t="shared" si="87"/>
        <v>0</v>
      </c>
      <c r="EJ59" s="199">
        <f t="shared" si="87"/>
        <v>0</v>
      </c>
      <c r="EK59" s="199">
        <f t="shared" si="87"/>
        <v>0</v>
      </c>
      <c r="EL59" s="199">
        <f t="shared" si="87"/>
        <v>0</v>
      </c>
      <c r="EM59" s="199">
        <f t="shared" si="87"/>
        <v>0</v>
      </c>
      <c r="EN59" s="199">
        <f t="shared" si="87"/>
        <v>0</v>
      </c>
      <c r="EO59" s="199">
        <f t="shared" si="87"/>
        <v>0</v>
      </c>
      <c r="EP59" s="199">
        <f t="shared" si="87"/>
        <v>0</v>
      </c>
      <c r="EQ59" s="199">
        <f t="shared" si="87"/>
        <v>0</v>
      </c>
      <c r="ER59" s="199">
        <f t="shared" si="87"/>
        <v>0</v>
      </c>
      <c r="ES59" s="199">
        <f t="shared" si="87"/>
        <v>0</v>
      </c>
      <c r="ET59" s="199">
        <f t="shared" si="87"/>
        <v>0</v>
      </c>
      <c r="EV59" s="190" t="s">
        <v>82</v>
      </c>
    </row>
    <row r="60" spans="3:152" ht="15" customHeight="1" outlineLevel="1" x14ac:dyDescent="0.3">
      <c r="E60" t="s">
        <v>96</v>
      </c>
      <c r="G60" s="199">
        <f t="shared" ref="G60:N60" si="88">SUM(G57:G59)</f>
        <v>-1016124675.9072572</v>
      </c>
      <c r="H60" s="199">
        <f t="shared" si="88"/>
        <v>-1117737143.4979899</v>
      </c>
      <c r="I60" s="199">
        <f t="shared" si="88"/>
        <v>-1185816444.7926552</v>
      </c>
      <c r="J60" s="199">
        <f t="shared" si="88"/>
        <v>-1235748561.0317876</v>
      </c>
      <c r="K60" s="199">
        <f t="shared" si="88"/>
        <v>-1270291569.7310333</v>
      </c>
      <c r="L60" s="199">
        <f t="shared" si="88"/>
        <v>-1302773176.2921183</v>
      </c>
      <c r="M60" s="199">
        <f t="shared" si="88"/>
        <v>-1332833518.0283983</v>
      </c>
      <c r="N60" s="199">
        <f t="shared" si="88"/>
        <v>-1453284513.1899917</v>
      </c>
      <c r="O60" s="199">
        <f>SUM(O57:O59)</f>
        <v>-1499748771.8162627</v>
      </c>
      <c r="P60" s="199">
        <f t="shared" ref="P60:CA60" si="89">SUM(P57:P59)</f>
        <v>-1548036600.6434994</v>
      </c>
      <c r="Q60" s="199">
        <f t="shared" si="89"/>
        <v>-1596814269.1009285</v>
      </c>
      <c r="R60" s="199">
        <f t="shared" si="89"/>
        <v>-95570288.105163887</v>
      </c>
      <c r="S60" s="199">
        <f>SUM(S57:S59)</f>
        <v>-244.59898012876511</v>
      </c>
      <c r="T60" s="199">
        <f t="shared" si="89"/>
        <v>-244.59898012876511</v>
      </c>
      <c r="U60" s="199">
        <f t="shared" si="89"/>
        <v>-244.59898012876511</v>
      </c>
      <c r="V60" s="199">
        <f t="shared" si="89"/>
        <v>-244.59898012876511</v>
      </c>
      <c r="W60" s="199">
        <f t="shared" si="89"/>
        <v>-244.59898012876511</v>
      </c>
      <c r="X60" s="199">
        <f t="shared" si="89"/>
        <v>-244.59898012876511</v>
      </c>
      <c r="Y60" s="199">
        <f t="shared" si="89"/>
        <v>-244.59898012876511</v>
      </c>
      <c r="Z60" s="199">
        <f t="shared" si="89"/>
        <v>-244.59898012876511</v>
      </c>
      <c r="AA60" s="199">
        <f t="shared" si="89"/>
        <v>-244.59898012876511</v>
      </c>
      <c r="AB60" s="199">
        <f t="shared" si="89"/>
        <v>-244.59898012876511</v>
      </c>
      <c r="AC60" s="199">
        <f t="shared" si="89"/>
        <v>-244.59898012876511</v>
      </c>
      <c r="AD60" s="199">
        <f t="shared" si="89"/>
        <v>-244.59898012876511</v>
      </c>
      <c r="AE60" s="199">
        <f t="shared" si="89"/>
        <v>-244.59898012876511</v>
      </c>
      <c r="AF60" s="199">
        <f t="shared" si="89"/>
        <v>-244.59898012876511</v>
      </c>
      <c r="AG60" s="199">
        <f t="shared" si="89"/>
        <v>-244.59898012876511</v>
      </c>
      <c r="AH60" s="199">
        <f t="shared" si="89"/>
        <v>-244.59898012876511</v>
      </c>
      <c r="AI60" s="199">
        <f t="shared" si="89"/>
        <v>-244.59898012876511</v>
      </c>
      <c r="AJ60" s="199">
        <f t="shared" si="89"/>
        <v>-244.59898012876511</v>
      </c>
      <c r="AK60" s="199">
        <f t="shared" si="89"/>
        <v>-244.59898012876511</v>
      </c>
      <c r="AL60" s="199">
        <f t="shared" si="89"/>
        <v>-244.59898012876511</v>
      </c>
      <c r="AM60" s="199">
        <f t="shared" si="89"/>
        <v>-244.59898012876511</v>
      </c>
      <c r="AN60" s="199">
        <f t="shared" si="89"/>
        <v>-244.59898012876511</v>
      </c>
      <c r="AO60" s="199">
        <f t="shared" si="89"/>
        <v>-244.59898012876511</v>
      </c>
      <c r="AP60" s="199">
        <f t="shared" si="89"/>
        <v>-244.59898012876511</v>
      </c>
      <c r="AQ60" s="199">
        <f t="shared" si="89"/>
        <v>-244.59898012876511</v>
      </c>
      <c r="AR60" s="199">
        <f t="shared" si="89"/>
        <v>-244.59898012876511</v>
      </c>
      <c r="AS60" s="199">
        <f t="shared" si="89"/>
        <v>-244.59898012876511</v>
      </c>
      <c r="AT60" s="199">
        <f t="shared" si="89"/>
        <v>-244.59898012876511</v>
      </c>
      <c r="AU60" s="199">
        <f t="shared" si="89"/>
        <v>-244.59898012876511</v>
      </c>
      <c r="AV60" s="199">
        <f t="shared" si="89"/>
        <v>-244.59898012876511</v>
      </c>
      <c r="AW60" s="199">
        <f t="shared" si="89"/>
        <v>-244.59898012876511</v>
      </c>
      <c r="AX60" s="199">
        <f t="shared" si="89"/>
        <v>-244.59898012876511</v>
      </c>
      <c r="AY60" s="199">
        <f t="shared" si="89"/>
        <v>-244.59898012876511</v>
      </c>
      <c r="AZ60" s="199">
        <f t="shared" si="89"/>
        <v>-244.59898012876511</v>
      </c>
      <c r="BA60" s="199">
        <f t="shared" si="89"/>
        <v>-244.59898012876511</v>
      </c>
      <c r="BB60" s="199">
        <f t="shared" si="89"/>
        <v>-244.59898012876511</v>
      </c>
      <c r="BC60" s="199">
        <f t="shared" si="89"/>
        <v>-244.59898012876511</v>
      </c>
      <c r="BD60" s="199">
        <f t="shared" si="89"/>
        <v>-244.59898012876511</v>
      </c>
      <c r="BE60" s="199">
        <f t="shared" si="89"/>
        <v>-244.59898012876511</v>
      </c>
      <c r="BF60" s="199">
        <f t="shared" si="89"/>
        <v>-244.59898012876511</v>
      </c>
      <c r="BG60" s="199">
        <f t="shared" si="89"/>
        <v>-244.59898012876511</v>
      </c>
      <c r="BH60" s="199">
        <f t="shared" si="89"/>
        <v>-244.59898012876511</v>
      </c>
      <c r="BI60" s="199">
        <f t="shared" si="89"/>
        <v>-244.59898012876511</v>
      </c>
      <c r="BJ60" s="199">
        <f t="shared" si="89"/>
        <v>-244.59898012876511</v>
      </c>
      <c r="BK60" s="199">
        <f t="shared" si="89"/>
        <v>-244.59898012876511</v>
      </c>
      <c r="BL60" s="199">
        <f t="shared" si="89"/>
        <v>-244.59898012876511</v>
      </c>
      <c r="BM60" s="199">
        <f t="shared" si="89"/>
        <v>-244.59898012876511</v>
      </c>
      <c r="BN60" s="199">
        <f t="shared" si="89"/>
        <v>-244.59898012876511</v>
      </c>
      <c r="BO60" s="199">
        <f t="shared" si="89"/>
        <v>-244.59898012876511</v>
      </c>
      <c r="BP60" s="199">
        <f t="shared" si="89"/>
        <v>-244.59898012876511</v>
      </c>
      <c r="BQ60" s="199">
        <f t="shared" si="89"/>
        <v>-244.59898012876511</v>
      </c>
      <c r="BR60" s="199">
        <f t="shared" si="89"/>
        <v>-244.59898012876511</v>
      </c>
      <c r="BS60" s="199">
        <f t="shared" si="89"/>
        <v>-244.59898012876511</v>
      </c>
      <c r="BT60" s="199">
        <f t="shared" si="89"/>
        <v>-244.59898012876511</v>
      </c>
      <c r="BU60" s="199">
        <f t="shared" si="89"/>
        <v>-244.59898012876511</v>
      </c>
      <c r="BV60" s="199">
        <f t="shared" si="89"/>
        <v>-244.59898012876511</v>
      </c>
      <c r="BW60" s="199">
        <f t="shared" si="89"/>
        <v>-244.59898012876511</v>
      </c>
      <c r="BX60" s="199">
        <f t="shared" si="89"/>
        <v>-244.59898012876511</v>
      </c>
      <c r="BY60" s="199">
        <f t="shared" si="89"/>
        <v>-244.59898012876511</v>
      </c>
      <c r="BZ60" s="199">
        <f t="shared" si="89"/>
        <v>-244.59898012876511</v>
      </c>
      <c r="CA60" s="199">
        <f t="shared" si="89"/>
        <v>-244.59898012876511</v>
      </c>
      <c r="CB60" s="199">
        <f t="shared" ref="CB60:EM60" si="90">SUM(CB57:CB59)</f>
        <v>-244.59898012876511</v>
      </c>
      <c r="CC60" s="199">
        <f t="shared" si="90"/>
        <v>-244.59898012876511</v>
      </c>
      <c r="CD60" s="199">
        <f t="shared" si="90"/>
        <v>-244.59898012876511</v>
      </c>
      <c r="CE60" s="199">
        <f t="shared" si="90"/>
        <v>-244.59898012876511</v>
      </c>
      <c r="CF60" s="199">
        <f t="shared" si="90"/>
        <v>-244.59898012876511</v>
      </c>
      <c r="CG60" s="199">
        <f t="shared" si="90"/>
        <v>-244.59898012876511</v>
      </c>
      <c r="CH60" s="199">
        <f t="shared" si="90"/>
        <v>-244.59898012876511</v>
      </c>
      <c r="CI60" s="199">
        <f t="shared" si="90"/>
        <v>-244.59898012876511</v>
      </c>
      <c r="CJ60" s="199">
        <f t="shared" si="90"/>
        <v>-244.59898012876511</v>
      </c>
      <c r="CK60" s="199">
        <f t="shared" si="90"/>
        <v>-244.59898012876511</v>
      </c>
      <c r="CL60" s="199">
        <f t="shared" si="90"/>
        <v>-244.59898012876511</v>
      </c>
      <c r="CM60" s="199">
        <f t="shared" si="90"/>
        <v>-244.59898012876511</v>
      </c>
      <c r="CN60" s="199">
        <f t="shared" si="90"/>
        <v>-244.59898012876511</v>
      </c>
      <c r="CO60" s="199">
        <f t="shared" si="90"/>
        <v>-244.59898012876511</v>
      </c>
      <c r="CP60" s="199">
        <f t="shared" si="90"/>
        <v>-244.59898012876511</v>
      </c>
      <c r="CQ60" s="199">
        <f t="shared" si="90"/>
        <v>-244.59898012876511</v>
      </c>
      <c r="CR60" s="199">
        <f t="shared" si="90"/>
        <v>-244.59898012876511</v>
      </c>
      <c r="CS60" s="199">
        <f t="shared" si="90"/>
        <v>-244.59898012876511</v>
      </c>
      <c r="CT60" s="199">
        <f t="shared" si="90"/>
        <v>-244.59898012876511</v>
      </c>
      <c r="CU60" s="199">
        <f t="shared" si="90"/>
        <v>-244.59898012876511</v>
      </c>
      <c r="CV60" s="199">
        <f t="shared" si="90"/>
        <v>-244.59898012876511</v>
      </c>
      <c r="CW60" s="199">
        <f t="shared" si="90"/>
        <v>-244.59898012876511</v>
      </c>
      <c r="CX60" s="199">
        <f t="shared" si="90"/>
        <v>-244.59898012876511</v>
      </c>
      <c r="CY60" s="199">
        <f t="shared" si="90"/>
        <v>-244.59898012876511</v>
      </c>
      <c r="CZ60" s="199">
        <f t="shared" si="90"/>
        <v>-244.59898012876511</v>
      </c>
      <c r="DA60" s="199">
        <f t="shared" si="90"/>
        <v>-244.59898012876511</v>
      </c>
      <c r="DB60" s="199">
        <f t="shared" si="90"/>
        <v>-244.59898012876511</v>
      </c>
      <c r="DC60" s="199">
        <f t="shared" si="90"/>
        <v>-244.59898012876511</v>
      </c>
      <c r="DD60" s="199">
        <f t="shared" si="90"/>
        <v>-244.59898012876511</v>
      </c>
      <c r="DE60" s="199">
        <f t="shared" si="90"/>
        <v>-244.59898012876511</v>
      </c>
      <c r="DF60" s="199">
        <f t="shared" si="90"/>
        <v>-244.59898012876511</v>
      </c>
      <c r="DG60" s="199">
        <f t="shared" si="90"/>
        <v>-244.59898012876511</v>
      </c>
      <c r="DH60" s="199">
        <f t="shared" si="90"/>
        <v>-244.59898012876511</v>
      </c>
      <c r="DI60" s="199">
        <f t="shared" si="90"/>
        <v>-244.59898012876511</v>
      </c>
      <c r="DJ60" s="199">
        <f t="shared" si="90"/>
        <v>-244.59898012876511</v>
      </c>
      <c r="DK60" s="199">
        <f t="shared" si="90"/>
        <v>-244.59898012876511</v>
      </c>
      <c r="DL60" s="199">
        <f t="shared" si="90"/>
        <v>-244.59898012876511</v>
      </c>
      <c r="DM60" s="199">
        <f t="shared" si="90"/>
        <v>-244.59898012876511</v>
      </c>
      <c r="DN60" s="199">
        <f t="shared" si="90"/>
        <v>-244.59898012876511</v>
      </c>
      <c r="DO60" s="199">
        <f t="shared" si="90"/>
        <v>-244.59898012876511</v>
      </c>
      <c r="DP60" s="199">
        <f t="shared" si="90"/>
        <v>-244.59898012876511</v>
      </c>
      <c r="DQ60" s="199">
        <f t="shared" si="90"/>
        <v>-244.59898012876511</v>
      </c>
      <c r="DR60" s="199">
        <f t="shared" si="90"/>
        <v>-244.59898012876511</v>
      </c>
      <c r="DS60" s="199">
        <f t="shared" si="90"/>
        <v>-244.59898012876511</v>
      </c>
      <c r="DT60" s="199">
        <f t="shared" si="90"/>
        <v>-244.59898012876511</v>
      </c>
      <c r="DU60" s="199">
        <f t="shared" si="90"/>
        <v>-244.59898012876511</v>
      </c>
      <c r="DV60" s="199">
        <f t="shared" si="90"/>
        <v>-244.59898012876511</v>
      </c>
      <c r="DW60" s="199">
        <f t="shared" si="90"/>
        <v>-244.59898012876511</v>
      </c>
      <c r="DX60" s="199">
        <f t="shared" si="90"/>
        <v>-244.59898012876511</v>
      </c>
      <c r="DY60" s="199">
        <f t="shared" si="90"/>
        <v>-244.59898012876511</v>
      </c>
      <c r="DZ60" s="199">
        <f t="shared" si="90"/>
        <v>-244.59898012876511</v>
      </c>
      <c r="EA60" s="199">
        <f t="shared" si="90"/>
        <v>-244.59898012876511</v>
      </c>
      <c r="EB60" s="199">
        <f t="shared" si="90"/>
        <v>-244.59898012876511</v>
      </c>
      <c r="EC60" s="199">
        <f t="shared" si="90"/>
        <v>-244.59898012876511</v>
      </c>
      <c r="ED60" s="199">
        <f t="shared" si="90"/>
        <v>-244.59898012876511</v>
      </c>
      <c r="EE60" s="199">
        <f t="shared" si="90"/>
        <v>-244.59898012876511</v>
      </c>
      <c r="EF60" s="199">
        <f t="shared" si="90"/>
        <v>-244.59898012876511</v>
      </c>
      <c r="EG60" s="199">
        <f t="shared" si="90"/>
        <v>-244.59898012876511</v>
      </c>
      <c r="EH60" s="199">
        <f t="shared" si="90"/>
        <v>-244.59898012876511</v>
      </c>
      <c r="EI60" s="199">
        <f t="shared" si="90"/>
        <v>-244.59898012876511</v>
      </c>
      <c r="EJ60" s="199">
        <f t="shared" si="90"/>
        <v>-244.59898012876511</v>
      </c>
      <c r="EK60" s="199">
        <f t="shared" si="90"/>
        <v>-244.59898012876511</v>
      </c>
      <c r="EL60" s="199">
        <f t="shared" si="90"/>
        <v>-244.59898012876511</v>
      </c>
      <c r="EM60" s="199">
        <f t="shared" si="90"/>
        <v>-244.59898012876511</v>
      </c>
      <c r="EN60" s="199">
        <f t="shared" ref="EN60:ET60" si="91">SUM(EN57:EN59)</f>
        <v>-244.59898012876511</v>
      </c>
      <c r="EO60" s="199">
        <f t="shared" si="91"/>
        <v>-244.59898012876511</v>
      </c>
      <c r="EP60" s="199">
        <f t="shared" si="91"/>
        <v>-244.59898012876511</v>
      </c>
      <c r="EQ60" s="199">
        <f t="shared" si="91"/>
        <v>-244.59898012876511</v>
      </c>
      <c r="ER60" s="199">
        <f t="shared" si="91"/>
        <v>-244.59898012876511</v>
      </c>
      <c r="ES60" s="199">
        <f t="shared" si="91"/>
        <v>-244.59898012876511</v>
      </c>
      <c r="ET60" s="199">
        <f t="shared" si="91"/>
        <v>-244.59898012876511</v>
      </c>
      <c r="EV60" s="190" t="s">
        <v>82</v>
      </c>
    </row>
    <row r="61" spans="3:152" ht="15" customHeight="1" outlineLevel="1" x14ac:dyDescent="0.3">
      <c r="E61" t="s">
        <v>97</v>
      </c>
      <c r="G61" s="199">
        <v>0</v>
      </c>
      <c r="H61" s="199">
        <f t="shared" ref="H61:AM61" si="92">IF(MIN(-H60,H11*$F$5)&lt;0,0,MIN(-H60,H11*$F$5))</f>
        <v>39722193.686491989</v>
      </c>
      <c r="I61" s="199">
        <f t="shared" si="92"/>
        <v>62408662.036491983</v>
      </c>
      <c r="J61" s="199">
        <f t="shared" si="92"/>
        <v>80938043.094491974</v>
      </c>
      <c r="K61" s="199">
        <f t="shared" si="92"/>
        <v>86261537.324851528</v>
      </c>
      <c r="L61" s="199">
        <f t="shared" si="92"/>
        <v>91106341.720854744</v>
      </c>
      <c r="M61" s="199">
        <f t="shared" si="92"/>
        <v>11665778.764778009</v>
      </c>
      <c r="N61" s="199">
        <f t="shared" si="92"/>
        <v>89876538.811579734</v>
      </c>
      <c r="O61" s="199">
        <f t="shared" si="92"/>
        <v>92810204.31931752</v>
      </c>
      <c r="P61" s="199">
        <f t="shared" si="92"/>
        <v>96387265.097210035</v>
      </c>
      <c r="Q61" s="199">
        <f t="shared" si="92"/>
        <v>1509932189.0053256</v>
      </c>
      <c r="R61" s="199">
        <f t="shared" si="92"/>
        <v>0</v>
      </c>
      <c r="S61" s="199">
        <f t="shared" si="92"/>
        <v>0</v>
      </c>
      <c r="T61" s="199">
        <f t="shared" si="92"/>
        <v>0</v>
      </c>
      <c r="U61" s="199">
        <f t="shared" si="92"/>
        <v>0</v>
      </c>
      <c r="V61" s="199">
        <f t="shared" si="92"/>
        <v>0</v>
      </c>
      <c r="W61" s="199">
        <f t="shared" si="92"/>
        <v>0</v>
      </c>
      <c r="X61" s="199">
        <f t="shared" si="92"/>
        <v>0</v>
      </c>
      <c r="Y61" s="199">
        <f t="shared" si="92"/>
        <v>0</v>
      </c>
      <c r="Z61" s="199">
        <f t="shared" si="92"/>
        <v>0</v>
      </c>
      <c r="AA61" s="199">
        <f t="shared" si="92"/>
        <v>0</v>
      </c>
      <c r="AB61" s="199">
        <f t="shared" si="92"/>
        <v>0</v>
      </c>
      <c r="AC61" s="199">
        <f t="shared" si="92"/>
        <v>0</v>
      </c>
      <c r="AD61" s="199">
        <f t="shared" si="92"/>
        <v>0</v>
      </c>
      <c r="AE61" s="199">
        <f t="shared" si="92"/>
        <v>0</v>
      </c>
      <c r="AF61" s="199">
        <f t="shared" si="92"/>
        <v>0</v>
      </c>
      <c r="AG61" s="199">
        <f t="shared" si="92"/>
        <v>0</v>
      </c>
      <c r="AH61" s="199">
        <f t="shared" si="92"/>
        <v>0</v>
      </c>
      <c r="AI61" s="199">
        <f t="shared" si="92"/>
        <v>0</v>
      </c>
      <c r="AJ61" s="199">
        <f t="shared" si="92"/>
        <v>0</v>
      </c>
      <c r="AK61" s="199">
        <f t="shared" si="92"/>
        <v>0</v>
      </c>
      <c r="AL61" s="199">
        <f t="shared" si="92"/>
        <v>0</v>
      </c>
      <c r="AM61" s="199">
        <f t="shared" si="92"/>
        <v>0</v>
      </c>
      <c r="AN61" s="199">
        <f t="shared" ref="AN61:BS61" si="93">IF(MIN(-AN60,AN11*$F$5)&lt;0,0,MIN(-AN60,AN11*$F$5))</f>
        <v>0</v>
      </c>
      <c r="AO61" s="199">
        <f t="shared" si="93"/>
        <v>0</v>
      </c>
      <c r="AP61" s="199">
        <f t="shared" si="93"/>
        <v>0</v>
      </c>
      <c r="AQ61" s="199">
        <f t="shared" si="93"/>
        <v>0</v>
      </c>
      <c r="AR61" s="199">
        <f t="shared" si="93"/>
        <v>0</v>
      </c>
      <c r="AS61" s="199">
        <f t="shared" si="93"/>
        <v>0</v>
      </c>
      <c r="AT61" s="199">
        <f t="shared" si="93"/>
        <v>0</v>
      </c>
      <c r="AU61" s="199">
        <f t="shared" si="93"/>
        <v>0</v>
      </c>
      <c r="AV61" s="199">
        <f t="shared" si="93"/>
        <v>0</v>
      </c>
      <c r="AW61" s="199">
        <f t="shared" si="93"/>
        <v>0</v>
      </c>
      <c r="AX61" s="199">
        <f t="shared" si="93"/>
        <v>0</v>
      </c>
      <c r="AY61" s="199">
        <f t="shared" si="93"/>
        <v>0</v>
      </c>
      <c r="AZ61" s="199">
        <f t="shared" si="93"/>
        <v>0</v>
      </c>
      <c r="BA61" s="199">
        <f t="shared" si="93"/>
        <v>0</v>
      </c>
      <c r="BB61" s="199">
        <f t="shared" si="93"/>
        <v>0</v>
      </c>
      <c r="BC61" s="199">
        <f t="shared" si="93"/>
        <v>0</v>
      </c>
      <c r="BD61" s="199">
        <f t="shared" si="93"/>
        <v>0</v>
      </c>
      <c r="BE61" s="199">
        <f t="shared" si="93"/>
        <v>0</v>
      </c>
      <c r="BF61" s="199">
        <f t="shared" si="93"/>
        <v>0</v>
      </c>
      <c r="BG61" s="199">
        <f t="shared" si="93"/>
        <v>0</v>
      </c>
      <c r="BH61" s="199">
        <f t="shared" si="93"/>
        <v>0</v>
      </c>
      <c r="BI61" s="199">
        <f t="shared" si="93"/>
        <v>0</v>
      </c>
      <c r="BJ61" s="199">
        <f t="shared" si="93"/>
        <v>0</v>
      </c>
      <c r="BK61" s="199">
        <f t="shared" si="93"/>
        <v>0</v>
      </c>
      <c r="BL61" s="199">
        <f t="shared" si="93"/>
        <v>0</v>
      </c>
      <c r="BM61" s="199">
        <f t="shared" si="93"/>
        <v>0</v>
      </c>
      <c r="BN61" s="199">
        <f t="shared" si="93"/>
        <v>0</v>
      </c>
      <c r="BO61" s="199">
        <f t="shared" si="93"/>
        <v>0</v>
      </c>
      <c r="BP61" s="199">
        <f t="shared" si="93"/>
        <v>0</v>
      </c>
      <c r="BQ61" s="199">
        <f t="shared" si="93"/>
        <v>0</v>
      </c>
      <c r="BR61" s="199">
        <f t="shared" si="93"/>
        <v>0</v>
      </c>
      <c r="BS61" s="199">
        <f t="shared" si="93"/>
        <v>0</v>
      </c>
      <c r="BT61" s="199">
        <f t="shared" ref="BT61:CY61" si="94">IF(MIN(-BT60,BT11*$F$5)&lt;0,0,MIN(-BT60,BT11*$F$5))</f>
        <v>0</v>
      </c>
      <c r="BU61" s="199">
        <f t="shared" si="94"/>
        <v>0</v>
      </c>
      <c r="BV61" s="199">
        <f t="shared" si="94"/>
        <v>0</v>
      </c>
      <c r="BW61" s="199">
        <f t="shared" si="94"/>
        <v>0</v>
      </c>
      <c r="BX61" s="199">
        <f t="shared" si="94"/>
        <v>0</v>
      </c>
      <c r="BY61" s="199">
        <f t="shared" si="94"/>
        <v>0</v>
      </c>
      <c r="BZ61" s="199">
        <f t="shared" si="94"/>
        <v>0</v>
      </c>
      <c r="CA61" s="199">
        <f t="shared" si="94"/>
        <v>0</v>
      </c>
      <c r="CB61" s="199">
        <f t="shared" si="94"/>
        <v>0</v>
      </c>
      <c r="CC61" s="199">
        <f t="shared" si="94"/>
        <v>0</v>
      </c>
      <c r="CD61" s="199">
        <f t="shared" si="94"/>
        <v>0</v>
      </c>
      <c r="CE61" s="199">
        <f t="shared" si="94"/>
        <v>0</v>
      </c>
      <c r="CF61" s="199">
        <f t="shared" si="94"/>
        <v>0</v>
      </c>
      <c r="CG61" s="199">
        <f t="shared" si="94"/>
        <v>0</v>
      </c>
      <c r="CH61" s="199">
        <f t="shared" si="94"/>
        <v>0</v>
      </c>
      <c r="CI61" s="199">
        <f t="shared" si="94"/>
        <v>0</v>
      </c>
      <c r="CJ61" s="199">
        <f t="shared" si="94"/>
        <v>0</v>
      </c>
      <c r="CK61" s="199">
        <f t="shared" si="94"/>
        <v>0</v>
      </c>
      <c r="CL61" s="199">
        <f t="shared" si="94"/>
        <v>0</v>
      </c>
      <c r="CM61" s="199">
        <f t="shared" si="94"/>
        <v>0</v>
      </c>
      <c r="CN61" s="199">
        <f t="shared" si="94"/>
        <v>0</v>
      </c>
      <c r="CO61" s="199">
        <f t="shared" si="94"/>
        <v>0</v>
      </c>
      <c r="CP61" s="199">
        <f t="shared" si="94"/>
        <v>0</v>
      </c>
      <c r="CQ61" s="199">
        <f t="shared" si="94"/>
        <v>0</v>
      </c>
      <c r="CR61" s="199">
        <f t="shared" si="94"/>
        <v>0</v>
      </c>
      <c r="CS61" s="199">
        <f t="shared" si="94"/>
        <v>0</v>
      </c>
      <c r="CT61" s="199">
        <f t="shared" si="94"/>
        <v>0</v>
      </c>
      <c r="CU61" s="199">
        <f t="shared" si="94"/>
        <v>0</v>
      </c>
      <c r="CV61" s="199">
        <f t="shared" si="94"/>
        <v>0</v>
      </c>
      <c r="CW61" s="199">
        <f t="shared" si="94"/>
        <v>0</v>
      </c>
      <c r="CX61" s="199">
        <f t="shared" si="94"/>
        <v>0</v>
      </c>
      <c r="CY61" s="199">
        <f t="shared" si="94"/>
        <v>0</v>
      </c>
      <c r="CZ61" s="199">
        <f t="shared" ref="CZ61:EE61" si="95">IF(MIN(-CZ60,CZ11*$F$5)&lt;0,0,MIN(-CZ60,CZ11*$F$5))</f>
        <v>0</v>
      </c>
      <c r="DA61" s="199">
        <f t="shared" si="95"/>
        <v>0</v>
      </c>
      <c r="DB61" s="199">
        <f t="shared" si="95"/>
        <v>0</v>
      </c>
      <c r="DC61" s="199">
        <f t="shared" si="95"/>
        <v>0</v>
      </c>
      <c r="DD61" s="199">
        <f t="shared" si="95"/>
        <v>0</v>
      </c>
      <c r="DE61" s="199">
        <f t="shared" si="95"/>
        <v>0</v>
      </c>
      <c r="DF61" s="199">
        <f t="shared" si="95"/>
        <v>0</v>
      </c>
      <c r="DG61" s="199">
        <f t="shared" si="95"/>
        <v>0</v>
      </c>
      <c r="DH61" s="199">
        <f t="shared" si="95"/>
        <v>0</v>
      </c>
      <c r="DI61" s="199">
        <f t="shared" si="95"/>
        <v>0</v>
      </c>
      <c r="DJ61" s="199">
        <f t="shared" si="95"/>
        <v>0</v>
      </c>
      <c r="DK61" s="199">
        <f t="shared" si="95"/>
        <v>0</v>
      </c>
      <c r="DL61" s="199">
        <f t="shared" si="95"/>
        <v>0</v>
      </c>
      <c r="DM61" s="199">
        <f t="shared" si="95"/>
        <v>0</v>
      </c>
      <c r="DN61" s="199">
        <f t="shared" si="95"/>
        <v>0</v>
      </c>
      <c r="DO61" s="199">
        <f t="shared" si="95"/>
        <v>0</v>
      </c>
      <c r="DP61" s="199">
        <f t="shared" si="95"/>
        <v>0</v>
      </c>
      <c r="DQ61" s="199">
        <f t="shared" si="95"/>
        <v>0</v>
      </c>
      <c r="DR61" s="199">
        <f t="shared" si="95"/>
        <v>0</v>
      </c>
      <c r="DS61" s="199">
        <f t="shared" si="95"/>
        <v>0</v>
      </c>
      <c r="DT61" s="199">
        <f t="shared" si="95"/>
        <v>0</v>
      </c>
      <c r="DU61" s="199">
        <f t="shared" si="95"/>
        <v>0</v>
      </c>
      <c r="DV61" s="199">
        <f t="shared" si="95"/>
        <v>0</v>
      </c>
      <c r="DW61" s="199">
        <f t="shared" si="95"/>
        <v>0</v>
      </c>
      <c r="DX61" s="199">
        <f t="shared" si="95"/>
        <v>0</v>
      </c>
      <c r="DY61" s="199">
        <f t="shared" si="95"/>
        <v>0</v>
      </c>
      <c r="DZ61" s="199">
        <f t="shared" si="95"/>
        <v>0</v>
      </c>
      <c r="EA61" s="199">
        <f t="shared" si="95"/>
        <v>0</v>
      </c>
      <c r="EB61" s="199">
        <f t="shared" si="95"/>
        <v>0</v>
      </c>
      <c r="EC61" s="199">
        <f t="shared" si="95"/>
        <v>0</v>
      </c>
      <c r="ED61" s="199">
        <f t="shared" si="95"/>
        <v>0</v>
      </c>
      <c r="EE61" s="199">
        <f t="shared" si="95"/>
        <v>0</v>
      </c>
      <c r="EF61" s="199">
        <f t="shared" ref="EF61:ET61" si="96">IF(MIN(-EF60,EF11*$F$5)&lt;0,0,MIN(-EF60,EF11*$F$5))</f>
        <v>0</v>
      </c>
      <c r="EG61" s="199">
        <f t="shared" si="96"/>
        <v>0</v>
      </c>
      <c r="EH61" s="199">
        <f t="shared" si="96"/>
        <v>0</v>
      </c>
      <c r="EI61" s="199">
        <f t="shared" si="96"/>
        <v>0</v>
      </c>
      <c r="EJ61" s="199">
        <f t="shared" si="96"/>
        <v>0</v>
      </c>
      <c r="EK61" s="199">
        <f t="shared" si="96"/>
        <v>0</v>
      </c>
      <c r="EL61" s="199">
        <f t="shared" si="96"/>
        <v>0</v>
      </c>
      <c r="EM61" s="199">
        <f t="shared" si="96"/>
        <v>0</v>
      </c>
      <c r="EN61" s="199">
        <f t="shared" si="96"/>
        <v>0</v>
      </c>
      <c r="EO61" s="199">
        <f t="shared" si="96"/>
        <v>0</v>
      </c>
      <c r="EP61" s="199">
        <f t="shared" si="96"/>
        <v>0</v>
      </c>
      <c r="EQ61" s="199">
        <f t="shared" si="96"/>
        <v>0</v>
      </c>
      <c r="ER61" s="199">
        <f t="shared" si="96"/>
        <v>0</v>
      </c>
      <c r="ES61" s="199">
        <f t="shared" si="96"/>
        <v>0</v>
      </c>
      <c r="ET61" s="199">
        <f t="shared" si="96"/>
        <v>0</v>
      </c>
      <c r="EV61" s="190" t="s">
        <v>82</v>
      </c>
    </row>
    <row r="62" spans="3:152" ht="15" customHeight="1" outlineLevel="1" x14ac:dyDescent="0.3">
      <c r="E62" t="s">
        <v>98</v>
      </c>
      <c r="G62" s="199">
        <f>+SUM(G60:G61)</f>
        <v>-1016124675.9072572</v>
      </c>
      <c r="H62" s="199">
        <f t="shared" ref="H62:M62" si="97">+SUM(H60:H61)</f>
        <v>-1078014949.8114979</v>
      </c>
      <c r="I62" s="199">
        <f t="shared" si="97"/>
        <v>-1123407782.7561634</v>
      </c>
      <c r="J62" s="199">
        <f t="shared" si="97"/>
        <v>-1154810517.9372957</v>
      </c>
      <c r="K62" s="199">
        <f t="shared" si="97"/>
        <v>-1184030032.4061818</v>
      </c>
      <c r="L62" s="199">
        <f t="shared" si="97"/>
        <v>-1211666834.5712636</v>
      </c>
      <c r="M62" s="199">
        <f t="shared" si="97"/>
        <v>-1321167739.2636204</v>
      </c>
      <c r="N62" s="199">
        <f>+SUM(N60:N61)</f>
        <v>-1363407974.378412</v>
      </c>
      <c r="O62" s="199">
        <f t="shared" ref="O62:BZ62" si="98">+SUM(O60:O61)</f>
        <v>-1406938567.4969451</v>
      </c>
      <c r="P62" s="199">
        <f t="shared" si="98"/>
        <v>-1451649335.5462894</v>
      </c>
      <c r="Q62" s="199">
        <f t="shared" si="98"/>
        <v>-86882080.095602989</v>
      </c>
      <c r="R62" s="199">
        <f t="shared" si="98"/>
        <v>-95570288.105163887</v>
      </c>
      <c r="S62" s="199">
        <f t="shared" si="98"/>
        <v>-244.59898012876511</v>
      </c>
      <c r="T62" s="199">
        <f t="shared" si="98"/>
        <v>-244.59898012876511</v>
      </c>
      <c r="U62" s="199">
        <f t="shared" si="98"/>
        <v>-244.59898012876511</v>
      </c>
      <c r="V62" s="199">
        <f t="shared" si="98"/>
        <v>-244.59898012876511</v>
      </c>
      <c r="W62" s="199">
        <f t="shared" si="98"/>
        <v>-244.59898012876511</v>
      </c>
      <c r="X62" s="199">
        <f t="shared" si="98"/>
        <v>-244.59898012876511</v>
      </c>
      <c r="Y62" s="199">
        <f t="shared" si="98"/>
        <v>-244.59898012876511</v>
      </c>
      <c r="Z62" s="199">
        <f t="shared" si="98"/>
        <v>-244.59898012876511</v>
      </c>
      <c r="AA62" s="199">
        <f t="shared" si="98"/>
        <v>-244.59898012876511</v>
      </c>
      <c r="AB62" s="199">
        <f t="shared" si="98"/>
        <v>-244.59898012876511</v>
      </c>
      <c r="AC62" s="199">
        <f t="shared" si="98"/>
        <v>-244.59898012876511</v>
      </c>
      <c r="AD62" s="199">
        <f t="shared" si="98"/>
        <v>-244.59898012876511</v>
      </c>
      <c r="AE62" s="199">
        <f t="shared" si="98"/>
        <v>-244.59898012876511</v>
      </c>
      <c r="AF62" s="199">
        <f t="shared" si="98"/>
        <v>-244.59898012876511</v>
      </c>
      <c r="AG62" s="199">
        <f t="shared" si="98"/>
        <v>-244.59898012876511</v>
      </c>
      <c r="AH62" s="199">
        <f t="shared" si="98"/>
        <v>-244.59898012876511</v>
      </c>
      <c r="AI62" s="199">
        <f t="shared" si="98"/>
        <v>-244.59898012876511</v>
      </c>
      <c r="AJ62" s="199">
        <f t="shared" si="98"/>
        <v>-244.59898012876511</v>
      </c>
      <c r="AK62" s="199">
        <f t="shared" si="98"/>
        <v>-244.59898012876511</v>
      </c>
      <c r="AL62" s="199">
        <f t="shared" si="98"/>
        <v>-244.59898012876511</v>
      </c>
      <c r="AM62" s="199">
        <f t="shared" si="98"/>
        <v>-244.59898012876511</v>
      </c>
      <c r="AN62" s="199">
        <f t="shared" si="98"/>
        <v>-244.59898012876511</v>
      </c>
      <c r="AO62" s="199">
        <f t="shared" si="98"/>
        <v>-244.59898012876511</v>
      </c>
      <c r="AP62" s="199">
        <f t="shared" si="98"/>
        <v>-244.59898012876511</v>
      </c>
      <c r="AQ62" s="199">
        <f t="shared" si="98"/>
        <v>-244.59898012876511</v>
      </c>
      <c r="AR62" s="199">
        <f t="shared" si="98"/>
        <v>-244.59898012876511</v>
      </c>
      <c r="AS62" s="199">
        <f t="shared" si="98"/>
        <v>-244.59898012876511</v>
      </c>
      <c r="AT62" s="199">
        <f t="shared" si="98"/>
        <v>-244.59898012876511</v>
      </c>
      <c r="AU62" s="199">
        <f t="shared" si="98"/>
        <v>-244.59898012876511</v>
      </c>
      <c r="AV62" s="199">
        <f t="shared" si="98"/>
        <v>-244.59898012876511</v>
      </c>
      <c r="AW62" s="199">
        <f t="shared" si="98"/>
        <v>-244.59898012876511</v>
      </c>
      <c r="AX62" s="199">
        <f t="shared" si="98"/>
        <v>-244.59898012876511</v>
      </c>
      <c r="AY62" s="199">
        <f t="shared" si="98"/>
        <v>-244.59898012876511</v>
      </c>
      <c r="AZ62" s="199">
        <f t="shared" si="98"/>
        <v>-244.59898012876511</v>
      </c>
      <c r="BA62" s="199">
        <f t="shared" si="98"/>
        <v>-244.59898012876511</v>
      </c>
      <c r="BB62" s="199">
        <f t="shared" si="98"/>
        <v>-244.59898012876511</v>
      </c>
      <c r="BC62" s="199">
        <f t="shared" si="98"/>
        <v>-244.59898012876511</v>
      </c>
      <c r="BD62" s="199">
        <f t="shared" si="98"/>
        <v>-244.59898012876511</v>
      </c>
      <c r="BE62" s="199">
        <f t="shared" si="98"/>
        <v>-244.59898012876511</v>
      </c>
      <c r="BF62" s="199">
        <f t="shared" si="98"/>
        <v>-244.59898012876511</v>
      </c>
      <c r="BG62" s="199">
        <f t="shared" si="98"/>
        <v>-244.59898012876511</v>
      </c>
      <c r="BH62" s="199">
        <f t="shared" si="98"/>
        <v>-244.59898012876511</v>
      </c>
      <c r="BI62" s="199">
        <f t="shared" si="98"/>
        <v>-244.59898012876511</v>
      </c>
      <c r="BJ62" s="199">
        <f t="shared" si="98"/>
        <v>-244.59898012876511</v>
      </c>
      <c r="BK62" s="199">
        <f t="shared" si="98"/>
        <v>-244.59898012876511</v>
      </c>
      <c r="BL62" s="199">
        <f t="shared" si="98"/>
        <v>-244.59898012876511</v>
      </c>
      <c r="BM62" s="199">
        <f t="shared" si="98"/>
        <v>-244.59898012876511</v>
      </c>
      <c r="BN62" s="199">
        <f t="shared" si="98"/>
        <v>-244.59898012876511</v>
      </c>
      <c r="BO62" s="199">
        <f t="shared" si="98"/>
        <v>-244.59898012876511</v>
      </c>
      <c r="BP62" s="199">
        <f t="shared" si="98"/>
        <v>-244.59898012876511</v>
      </c>
      <c r="BQ62" s="199">
        <f t="shared" si="98"/>
        <v>-244.59898012876511</v>
      </c>
      <c r="BR62" s="199">
        <f t="shared" si="98"/>
        <v>-244.59898012876511</v>
      </c>
      <c r="BS62" s="199">
        <f t="shared" si="98"/>
        <v>-244.59898012876511</v>
      </c>
      <c r="BT62" s="199">
        <f t="shared" si="98"/>
        <v>-244.59898012876511</v>
      </c>
      <c r="BU62" s="199">
        <f t="shared" si="98"/>
        <v>-244.59898012876511</v>
      </c>
      <c r="BV62" s="199">
        <f t="shared" si="98"/>
        <v>-244.59898012876511</v>
      </c>
      <c r="BW62" s="199">
        <f t="shared" si="98"/>
        <v>-244.59898012876511</v>
      </c>
      <c r="BX62" s="199">
        <f t="shared" si="98"/>
        <v>-244.59898012876511</v>
      </c>
      <c r="BY62" s="199">
        <f t="shared" si="98"/>
        <v>-244.59898012876511</v>
      </c>
      <c r="BZ62" s="199">
        <f t="shared" si="98"/>
        <v>-244.59898012876511</v>
      </c>
      <c r="CA62" s="199">
        <f t="shared" ref="CA62:EL62" si="99">+SUM(CA60:CA61)</f>
        <v>-244.59898012876511</v>
      </c>
      <c r="CB62" s="199">
        <f t="shared" si="99"/>
        <v>-244.59898012876511</v>
      </c>
      <c r="CC62" s="199">
        <f t="shared" si="99"/>
        <v>-244.59898012876511</v>
      </c>
      <c r="CD62" s="199">
        <f t="shared" si="99"/>
        <v>-244.59898012876511</v>
      </c>
      <c r="CE62" s="199">
        <f t="shared" si="99"/>
        <v>-244.59898012876511</v>
      </c>
      <c r="CF62" s="199">
        <f t="shared" si="99"/>
        <v>-244.59898012876511</v>
      </c>
      <c r="CG62" s="199">
        <f t="shared" si="99"/>
        <v>-244.59898012876511</v>
      </c>
      <c r="CH62" s="199">
        <f t="shared" si="99"/>
        <v>-244.59898012876511</v>
      </c>
      <c r="CI62" s="199">
        <f t="shared" si="99"/>
        <v>-244.59898012876511</v>
      </c>
      <c r="CJ62" s="199">
        <f t="shared" si="99"/>
        <v>-244.59898012876511</v>
      </c>
      <c r="CK62" s="199">
        <f t="shared" si="99"/>
        <v>-244.59898012876511</v>
      </c>
      <c r="CL62" s="199">
        <f t="shared" si="99"/>
        <v>-244.59898012876511</v>
      </c>
      <c r="CM62" s="199">
        <f t="shared" si="99"/>
        <v>-244.59898012876511</v>
      </c>
      <c r="CN62" s="199">
        <f t="shared" si="99"/>
        <v>-244.59898012876511</v>
      </c>
      <c r="CO62" s="199">
        <f t="shared" si="99"/>
        <v>-244.59898012876511</v>
      </c>
      <c r="CP62" s="199">
        <f t="shared" si="99"/>
        <v>-244.59898012876511</v>
      </c>
      <c r="CQ62" s="199">
        <f t="shared" si="99"/>
        <v>-244.59898012876511</v>
      </c>
      <c r="CR62" s="199">
        <f t="shared" si="99"/>
        <v>-244.59898012876511</v>
      </c>
      <c r="CS62" s="199">
        <f t="shared" si="99"/>
        <v>-244.59898012876511</v>
      </c>
      <c r="CT62" s="199">
        <f t="shared" si="99"/>
        <v>-244.59898012876511</v>
      </c>
      <c r="CU62" s="199">
        <f t="shared" si="99"/>
        <v>-244.59898012876511</v>
      </c>
      <c r="CV62" s="199">
        <f t="shared" si="99"/>
        <v>-244.59898012876511</v>
      </c>
      <c r="CW62" s="199">
        <f t="shared" si="99"/>
        <v>-244.59898012876511</v>
      </c>
      <c r="CX62" s="199">
        <f t="shared" si="99"/>
        <v>-244.59898012876511</v>
      </c>
      <c r="CY62" s="199">
        <f t="shared" si="99"/>
        <v>-244.59898012876511</v>
      </c>
      <c r="CZ62" s="199">
        <f t="shared" si="99"/>
        <v>-244.59898012876511</v>
      </c>
      <c r="DA62" s="199">
        <f t="shared" si="99"/>
        <v>-244.59898012876511</v>
      </c>
      <c r="DB62" s="199">
        <f t="shared" si="99"/>
        <v>-244.59898012876511</v>
      </c>
      <c r="DC62" s="199">
        <f t="shared" si="99"/>
        <v>-244.59898012876511</v>
      </c>
      <c r="DD62" s="199">
        <f t="shared" si="99"/>
        <v>-244.59898012876511</v>
      </c>
      <c r="DE62" s="199">
        <f t="shared" si="99"/>
        <v>-244.59898012876511</v>
      </c>
      <c r="DF62" s="199">
        <f t="shared" si="99"/>
        <v>-244.59898012876511</v>
      </c>
      <c r="DG62" s="199">
        <f t="shared" si="99"/>
        <v>-244.59898012876511</v>
      </c>
      <c r="DH62" s="199">
        <f t="shared" si="99"/>
        <v>-244.59898012876511</v>
      </c>
      <c r="DI62" s="199">
        <f t="shared" si="99"/>
        <v>-244.59898012876511</v>
      </c>
      <c r="DJ62" s="199">
        <f t="shared" si="99"/>
        <v>-244.59898012876511</v>
      </c>
      <c r="DK62" s="199">
        <f t="shared" si="99"/>
        <v>-244.59898012876511</v>
      </c>
      <c r="DL62" s="199">
        <f t="shared" si="99"/>
        <v>-244.59898012876511</v>
      </c>
      <c r="DM62" s="199">
        <f t="shared" si="99"/>
        <v>-244.59898012876511</v>
      </c>
      <c r="DN62" s="199">
        <f t="shared" si="99"/>
        <v>-244.59898012876511</v>
      </c>
      <c r="DO62" s="199">
        <f t="shared" si="99"/>
        <v>-244.59898012876511</v>
      </c>
      <c r="DP62" s="199">
        <f t="shared" si="99"/>
        <v>-244.59898012876511</v>
      </c>
      <c r="DQ62" s="199">
        <f t="shared" si="99"/>
        <v>-244.59898012876511</v>
      </c>
      <c r="DR62" s="199">
        <f t="shared" si="99"/>
        <v>-244.59898012876511</v>
      </c>
      <c r="DS62" s="199">
        <f t="shared" si="99"/>
        <v>-244.59898012876511</v>
      </c>
      <c r="DT62" s="199">
        <f t="shared" si="99"/>
        <v>-244.59898012876511</v>
      </c>
      <c r="DU62" s="199">
        <f t="shared" si="99"/>
        <v>-244.59898012876511</v>
      </c>
      <c r="DV62" s="199">
        <f t="shared" si="99"/>
        <v>-244.59898012876511</v>
      </c>
      <c r="DW62" s="199">
        <f t="shared" si="99"/>
        <v>-244.59898012876511</v>
      </c>
      <c r="DX62" s="199">
        <f t="shared" si="99"/>
        <v>-244.59898012876511</v>
      </c>
      <c r="DY62" s="199">
        <f t="shared" si="99"/>
        <v>-244.59898012876511</v>
      </c>
      <c r="DZ62" s="199">
        <f t="shared" si="99"/>
        <v>-244.59898012876511</v>
      </c>
      <c r="EA62" s="199">
        <f t="shared" si="99"/>
        <v>-244.59898012876511</v>
      </c>
      <c r="EB62" s="199">
        <f t="shared" si="99"/>
        <v>-244.59898012876511</v>
      </c>
      <c r="EC62" s="199">
        <f t="shared" si="99"/>
        <v>-244.59898012876511</v>
      </c>
      <c r="ED62" s="199">
        <f t="shared" si="99"/>
        <v>-244.59898012876511</v>
      </c>
      <c r="EE62" s="199">
        <f t="shared" si="99"/>
        <v>-244.59898012876511</v>
      </c>
      <c r="EF62" s="199">
        <f t="shared" si="99"/>
        <v>-244.59898012876511</v>
      </c>
      <c r="EG62" s="199">
        <f t="shared" si="99"/>
        <v>-244.59898012876511</v>
      </c>
      <c r="EH62" s="199">
        <f t="shared" si="99"/>
        <v>-244.59898012876511</v>
      </c>
      <c r="EI62" s="199">
        <f t="shared" si="99"/>
        <v>-244.59898012876511</v>
      </c>
      <c r="EJ62" s="199">
        <f t="shared" si="99"/>
        <v>-244.59898012876511</v>
      </c>
      <c r="EK62" s="199">
        <f t="shared" si="99"/>
        <v>-244.59898012876511</v>
      </c>
      <c r="EL62" s="199">
        <f t="shared" si="99"/>
        <v>-244.59898012876511</v>
      </c>
      <c r="EM62" s="199">
        <f t="shared" ref="EM62:ET62" si="100">+SUM(EM60:EM61)</f>
        <v>-244.59898012876511</v>
      </c>
      <c r="EN62" s="199">
        <f t="shared" si="100"/>
        <v>-244.59898012876511</v>
      </c>
      <c r="EO62" s="199">
        <f t="shared" si="100"/>
        <v>-244.59898012876511</v>
      </c>
      <c r="EP62" s="199">
        <f t="shared" si="100"/>
        <v>-244.59898012876511</v>
      </c>
      <c r="EQ62" s="199">
        <f t="shared" si="100"/>
        <v>-244.59898012876511</v>
      </c>
      <c r="ER62" s="199">
        <f t="shared" si="100"/>
        <v>-244.59898012876511</v>
      </c>
      <c r="ES62" s="199">
        <f t="shared" si="100"/>
        <v>-244.59898012876511</v>
      </c>
      <c r="ET62" s="199">
        <f t="shared" si="100"/>
        <v>-244.59898012876511</v>
      </c>
      <c r="EV62" s="190" t="s">
        <v>82</v>
      </c>
    </row>
    <row r="63" spans="3:152" s="55" customFormat="1" ht="15" customHeight="1" outlineLevel="1" x14ac:dyDescent="0.3">
      <c r="E63" s="56" t="s">
        <v>99</v>
      </c>
      <c r="F63" s="57">
        <f>XIRR(G63:ET63,G56:ET56)</f>
        <v>9.5341792702674844E-2</v>
      </c>
      <c r="G63" s="58">
        <f>+G61+G58</f>
        <v>-1016124675.9072572</v>
      </c>
      <c r="H63" s="58">
        <f t="shared" ref="H63:BS63" si="101">+H61+H58</f>
        <v>39722193.686491989</v>
      </c>
      <c r="I63" s="58">
        <f t="shared" si="101"/>
        <v>62408662.036491983</v>
      </c>
      <c r="J63" s="58">
        <f t="shared" si="101"/>
        <v>80938043.094491974</v>
      </c>
      <c r="K63" s="58">
        <f t="shared" si="101"/>
        <v>86261537.324851528</v>
      </c>
      <c r="L63" s="58">
        <f t="shared" si="101"/>
        <v>91106341.720854744</v>
      </c>
      <c r="M63" s="58">
        <f t="shared" si="101"/>
        <v>11665778.764778009</v>
      </c>
      <c r="N63" s="58">
        <f t="shared" si="101"/>
        <v>89876538.811579734</v>
      </c>
      <c r="O63" s="58">
        <f t="shared" si="101"/>
        <v>92810204.31931752</v>
      </c>
      <c r="P63" s="58">
        <f t="shared" si="101"/>
        <v>96387265.097210035</v>
      </c>
      <c r="Q63" s="58">
        <f t="shared" si="101"/>
        <v>1509932189.0053256</v>
      </c>
      <c r="R63" s="58">
        <f t="shared" si="101"/>
        <v>0</v>
      </c>
      <c r="S63" s="58">
        <f t="shared" si="101"/>
        <v>0</v>
      </c>
      <c r="T63" s="58">
        <f t="shared" si="101"/>
        <v>0</v>
      </c>
      <c r="U63" s="58">
        <f t="shared" si="101"/>
        <v>0</v>
      </c>
      <c r="V63" s="58">
        <f t="shared" si="101"/>
        <v>0</v>
      </c>
      <c r="W63" s="58">
        <f t="shared" si="101"/>
        <v>0</v>
      </c>
      <c r="X63" s="58">
        <f t="shared" si="101"/>
        <v>0</v>
      </c>
      <c r="Y63" s="58">
        <f t="shared" si="101"/>
        <v>0</v>
      </c>
      <c r="Z63" s="58">
        <f t="shared" si="101"/>
        <v>0</v>
      </c>
      <c r="AA63" s="58">
        <f t="shared" si="101"/>
        <v>0</v>
      </c>
      <c r="AB63" s="58">
        <f t="shared" si="101"/>
        <v>0</v>
      </c>
      <c r="AC63" s="58">
        <f t="shared" si="101"/>
        <v>0</v>
      </c>
      <c r="AD63" s="58">
        <f t="shared" si="101"/>
        <v>0</v>
      </c>
      <c r="AE63" s="58">
        <f t="shared" si="101"/>
        <v>0</v>
      </c>
      <c r="AF63" s="58">
        <f t="shared" si="101"/>
        <v>0</v>
      </c>
      <c r="AG63" s="58">
        <f t="shared" si="101"/>
        <v>0</v>
      </c>
      <c r="AH63" s="58">
        <f t="shared" si="101"/>
        <v>0</v>
      </c>
      <c r="AI63" s="58">
        <f t="shared" si="101"/>
        <v>0</v>
      </c>
      <c r="AJ63" s="58">
        <f t="shared" si="101"/>
        <v>0</v>
      </c>
      <c r="AK63" s="58">
        <f t="shared" si="101"/>
        <v>0</v>
      </c>
      <c r="AL63" s="58">
        <f t="shared" si="101"/>
        <v>0</v>
      </c>
      <c r="AM63" s="58">
        <f t="shared" si="101"/>
        <v>0</v>
      </c>
      <c r="AN63" s="58">
        <f t="shared" si="101"/>
        <v>0</v>
      </c>
      <c r="AO63" s="58">
        <f t="shared" si="101"/>
        <v>0</v>
      </c>
      <c r="AP63" s="58">
        <f t="shared" si="101"/>
        <v>0</v>
      </c>
      <c r="AQ63" s="58">
        <f t="shared" si="101"/>
        <v>0</v>
      </c>
      <c r="AR63" s="58">
        <f t="shared" si="101"/>
        <v>0</v>
      </c>
      <c r="AS63" s="58">
        <f t="shared" si="101"/>
        <v>0</v>
      </c>
      <c r="AT63" s="58">
        <f t="shared" si="101"/>
        <v>0</v>
      </c>
      <c r="AU63" s="58">
        <f t="shared" si="101"/>
        <v>0</v>
      </c>
      <c r="AV63" s="58">
        <f t="shared" si="101"/>
        <v>0</v>
      </c>
      <c r="AW63" s="58">
        <f t="shared" si="101"/>
        <v>0</v>
      </c>
      <c r="AX63" s="58">
        <f t="shared" si="101"/>
        <v>0</v>
      </c>
      <c r="AY63" s="58">
        <f t="shared" si="101"/>
        <v>0</v>
      </c>
      <c r="AZ63" s="58">
        <f t="shared" si="101"/>
        <v>0</v>
      </c>
      <c r="BA63" s="58">
        <f t="shared" si="101"/>
        <v>0</v>
      </c>
      <c r="BB63" s="58">
        <f t="shared" si="101"/>
        <v>0</v>
      </c>
      <c r="BC63" s="58">
        <f t="shared" si="101"/>
        <v>0</v>
      </c>
      <c r="BD63" s="58">
        <f t="shared" si="101"/>
        <v>0</v>
      </c>
      <c r="BE63" s="58">
        <f t="shared" si="101"/>
        <v>0</v>
      </c>
      <c r="BF63" s="58">
        <f t="shared" si="101"/>
        <v>0</v>
      </c>
      <c r="BG63" s="58">
        <f t="shared" si="101"/>
        <v>0</v>
      </c>
      <c r="BH63" s="58">
        <f t="shared" si="101"/>
        <v>0</v>
      </c>
      <c r="BI63" s="58">
        <f t="shared" si="101"/>
        <v>0</v>
      </c>
      <c r="BJ63" s="58">
        <f t="shared" si="101"/>
        <v>0</v>
      </c>
      <c r="BK63" s="58">
        <f t="shared" si="101"/>
        <v>0</v>
      </c>
      <c r="BL63" s="58">
        <f t="shared" si="101"/>
        <v>0</v>
      </c>
      <c r="BM63" s="58">
        <f t="shared" si="101"/>
        <v>0</v>
      </c>
      <c r="BN63" s="58">
        <f t="shared" si="101"/>
        <v>0</v>
      </c>
      <c r="BO63" s="58">
        <f t="shared" si="101"/>
        <v>0</v>
      </c>
      <c r="BP63" s="58">
        <f t="shared" si="101"/>
        <v>0</v>
      </c>
      <c r="BQ63" s="58">
        <f t="shared" si="101"/>
        <v>0</v>
      </c>
      <c r="BR63" s="58">
        <f t="shared" si="101"/>
        <v>0</v>
      </c>
      <c r="BS63" s="58">
        <f t="shared" si="101"/>
        <v>0</v>
      </c>
      <c r="BT63" s="58">
        <f t="shared" ref="BT63:EE63" si="102">+BT61+BT58</f>
        <v>0</v>
      </c>
      <c r="BU63" s="58">
        <f t="shared" si="102"/>
        <v>0</v>
      </c>
      <c r="BV63" s="58">
        <f t="shared" si="102"/>
        <v>0</v>
      </c>
      <c r="BW63" s="58">
        <f t="shared" si="102"/>
        <v>0</v>
      </c>
      <c r="BX63" s="58">
        <f t="shared" si="102"/>
        <v>0</v>
      </c>
      <c r="BY63" s="58">
        <f t="shared" si="102"/>
        <v>0</v>
      </c>
      <c r="BZ63" s="58">
        <f t="shared" si="102"/>
        <v>0</v>
      </c>
      <c r="CA63" s="58">
        <f t="shared" si="102"/>
        <v>0</v>
      </c>
      <c r="CB63" s="58">
        <f t="shared" si="102"/>
        <v>0</v>
      </c>
      <c r="CC63" s="58">
        <f t="shared" si="102"/>
        <v>0</v>
      </c>
      <c r="CD63" s="58">
        <f t="shared" si="102"/>
        <v>0</v>
      </c>
      <c r="CE63" s="58">
        <f t="shared" si="102"/>
        <v>0</v>
      </c>
      <c r="CF63" s="58">
        <f t="shared" si="102"/>
        <v>0</v>
      </c>
      <c r="CG63" s="58">
        <f t="shared" si="102"/>
        <v>0</v>
      </c>
      <c r="CH63" s="58">
        <f t="shared" si="102"/>
        <v>0</v>
      </c>
      <c r="CI63" s="58">
        <f t="shared" si="102"/>
        <v>0</v>
      </c>
      <c r="CJ63" s="58">
        <f t="shared" si="102"/>
        <v>0</v>
      </c>
      <c r="CK63" s="58">
        <f t="shared" si="102"/>
        <v>0</v>
      </c>
      <c r="CL63" s="58">
        <f t="shared" si="102"/>
        <v>0</v>
      </c>
      <c r="CM63" s="58">
        <f t="shared" si="102"/>
        <v>0</v>
      </c>
      <c r="CN63" s="58">
        <f t="shared" si="102"/>
        <v>0</v>
      </c>
      <c r="CO63" s="58">
        <f t="shared" si="102"/>
        <v>0</v>
      </c>
      <c r="CP63" s="58">
        <f t="shared" si="102"/>
        <v>0</v>
      </c>
      <c r="CQ63" s="58">
        <f t="shared" si="102"/>
        <v>0</v>
      </c>
      <c r="CR63" s="58">
        <f t="shared" si="102"/>
        <v>0</v>
      </c>
      <c r="CS63" s="58">
        <f t="shared" si="102"/>
        <v>0</v>
      </c>
      <c r="CT63" s="58">
        <f t="shared" si="102"/>
        <v>0</v>
      </c>
      <c r="CU63" s="58">
        <f t="shared" si="102"/>
        <v>0</v>
      </c>
      <c r="CV63" s="58">
        <f t="shared" si="102"/>
        <v>0</v>
      </c>
      <c r="CW63" s="58">
        <f t="shared" si="102"/>
        <v>0</v>
      </c>
      <c r="CX63" s="58">
        <f t="shared" si="102"/>
        <v>0</v>
      </c>
      <c r="CY63" s="58">
        <f t="shared" si="102"/>
        <v>0</v>
      </c>
      <c r="CZ63" s="58">
        <f t="shared" si="102"/>
        <v>0</v>
      </c>
      <c r="DA63" s="58">
        <f t="shared" si="102"/>
        <v>0</v>
      </c>
      <c r="DB63" s="58">
        <f t="shared" si="102"/>
        <v>0</v>
      </c>
      <c r="DC63" s="58">
        <f t="shared" si="102"/>
        <v>0</v>
      </c>
      <c r="DD63" s="58">
        <f t="shared" si="102"/>
        <v>0</v>
      </c>
      <c r="DE63" s="58">
        <f t="shared" si="102"/>
        <v>0</v>
      </c>
      <c r="DF63" s="58">
        <f t="shared" si="102"/>
        <v>0</v>
      </c>
      <c r="DG63" s="58">
        <f t="shared" si="102"/>
        <v>0</v>
      </c>
      <c r="DH63" s="58">
        <f t="shared" si="102"/>
        <v>0</v>
      </c>
      <c r="DI63" s="58">
        <f t="shared" si="102"/>
        <v>0</v>
      </c>
      <c r="DJ63" s="58">
        <f t="shared" si="102"/>
        <v>0</v>
      </c>
      <c r="DK63" s="58">
        <f t="shared" si="102"/>
        <v>0</v>
      </c>
      <c r="DL63" s="58">
        <f t="shared" si="102"/>
        <v>0</v>
      </c>
      <c r="DM63" s="58">
        <f t="shared" si="102"/>
        <v>0</v>
      </c>
      <c r="DN63" s="58">
        <f t="shared" si="102"/>
        <v>0</v>
      </c>
      <c r="DO63" s="58">
        <f t="shared" si="102"/>
        <v>0</v>
      </c>
      <c r="DP63" s="58">
        <f t="shared" si="102"/>
        <v>0</v>
      </c>
      <c r="DQ63" s="58">
        <f t="shared" si="102"/>
        <v>0</v>
      </c>
      <c r="DR63" s="58">
        <f t="shared" si="102"/>
        <v>0</v>
      </c>
      <c r="DS63" s="58">
        <f t="shared" si="102"/>
        <v>0</v>
      </c>
      <c r="DT63" s="58">
        <f t="shared" si="102"/>
        <v>0</v>
      </c>
      <c r="DU63" s="58">
        <f t="shared" si="102"/>
        <v>0</v>
      </c>
      <c r="DV63" s="58">
        <f t="shared" si="102"/>
        <v>0</v>
      </c>
      <c r="DW63" s="58">
        <f t="shared" si="102"/>
        <v>0</v>
      </c>
      <c r="DX63" s="58">
        <f t="shared" si="102"/>
        <v>0</v>
      </c>
      <c r="DY63" s="58">
        <f t="shared" si="102"/>
        <v>0</v>
      </c>
      <c r="DZ63" s="58">
        <f t="shared" si="102"/>
        <v>0</v>
      </c>
      <c r="EA63" s="58">
        <f t="shared" si="102"/>
        <v>0</v>
      </c>
      <c r="EB63" s="58">
        <f t="shared" si="102"/>
        <v>0</v>
      </c>
      <c r="EC63" s="58">
        <f t="shared" si="102"/>
        <v>0</v>
      </c>
      <c r="ED63" s="58">
        <f t="shared" si="102"/>
        <v>0</v>
      </c>
      <c r="EE63" s="58">
        <f t="shared" si="102"/>
        <v>0</v>
      </c>
      <c r="EF63" s="58">
        <f t="shared" ref="EF63:ET63" si="103">+EF61+EF58</f>
        <v>0</v>
      </c>
      <c r="EG63" s="58">
        <f t="shared" si="103"/>
        <v>0</v>
      </c>
      <c r="EH63" s="58">
        <f t="shared" si="103"/>
        <v>0</v>
      </c>
      <c r="EI63" s="58">
        <f t="shared" si="103"/>
        <v>0</v>
      </c>
      <c r="EJ63" s="58">
        <f t="shared" si="103"/>
        <v>0</v>
      </c>
      <c r="EK63" s="58">
        <f t="shared" si="103"/>
        <v>0</v>
      </c>
      <c r="EL63" s="58">
        <f t="shared" si="103"/>
        <v>0</v>
      </c>
      <c r="EM63" s="58">
        <f t="shared" si="103"/>
        <v>0</v>
      </c>
      <c r="EN63" s="58">
        <f t="shared" si="103"/>
        <v>0</v>
      </c>
      <c r="EO63" s="58">
        <f t="shared" si="103"/>
        <v>0</v>
      </c>
      <c r="EP63" s="58">
        <f t="shared" si="103"/>
        <v>0</v>
      </c>
      <c r="EQ63" s="58">
        <f t="shared" si="103"/>
        <v>0</v>
      </c>
      <c r="ER63" s="58">
        <f t="shared" si="103"/>
        <v>0</v>
      </c>
      <c r="ES63" s="58">
        <f t="shared" si="103"/>
        <v>0</v>
      </c>
      <c r="ET63" s="58">
        <f t="shared" si="103"/>
        <v>0</v>
      </c>
      <c r="EV63" s="190" t="s">
        <v>82</v>
      </c>
    </row>
    <row r="64" spans="3:152" ht="15" customHeight="1" outlineLevel="1" x14ac:dyDescent="0.3">
      <c r="E64" s="200"/>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c r="AY64" s="199"/>
      <c r="AZ64" s="199"/>
      <c r="BA64" s="199"/>
      <c r="BB64" s="199"/>
      <c r="BC64" s="199"/>
      <c r="BD64" s="199"/>
      <c r="BE64" s="199"/>
      <c r="BF64" s="199"/>
      <c r="BG64" s="199"/>
      <c r="BH64" s="199"/>
      <c r="BI64" s="199"/>
      <c r="BJ64" s="199"/>
      <c r="BK64" s="199"/>
      <c r="BL64" s="199"/>
      <c r="BM64" s="199"/>
      <c r="BN64" s="199"/>
      <c r="BO64" s="199"/>
      <c r="BP64" s="199"/>
      <c r="BQ64" s="199"/>
      <c r="BR64" s="199"/>
      <c r="BS64" s="199"/>
      <c r="BT64" s="199"/>
      <c r="BU64" s="199"/>
      <c r="BV64" s="199"/>
      <c r="BW64" s="199"/>
      <c r="BX64" s="199"/>
      <c r="BY64" s="199"/>
      <c r="BZ64" s="199"/>
      <c r="CA64" s="199"/>
      <c r="CB64" s="199"/>
      <c r="CC64" s="199"/>
      <c r="CD64" s="199"/>
      <c r="CE64" s="199"/>
      <c r="CF64" s="199"/>
      <c r="CG64" s="199"/>
      <c r="CH64" s="199"/>
      <c r="CI64" s="199"/>
      <c r="CJ64" s="199"/>
      <c r="CK64" s="199"/>
      <c r="CL64" s="199"/>
      <c r="CM64" s="199"/>
      <c r="CN64" s="199"/>
      <c r="CO64" s="199"/>
      <c r="CP64" s="199"/>
      <c r="CQ64" s="199"/>
      <c r="CR64" s="199"/>
      <c r="CS64" s="199"/>
      <c r="CT64" s="199"/>
      <c r="CU64" s="199"/>
      <c r="CV64" s="199"/>
      <c r="CW64" s="199"/>
      <c r="CX64" s="199"/>
      <c r="CY64" s="199"/>
      <c r="CZ64" s="199"/>
      <c r="DA64" s="199"/>
      <c r="DB64" s="199"/>
      <c r="DC64" s="199"/>
      <c r="DD64" s="199"/>
      <c r="DE64" s="199"/>
      <c r="DF64" s="199"/>
      <c r="DG64" s="199"/>
      <c r="DH64" s="199"/>
      <c r="DI64" s="199"/>
      <c r="DJ64" s="199"/>
      <c r="DK64" s="199"/>
      <c r="DL64" s="199"/>
      <c r="DM64" s="199"/>
      <c r="DN64" s="199"/>
      <c r="DO64" s="199"/>
      <c r="DP64" s="199"/>
      <c r="DQ64" s="199"/>
      <c r="DR64" s="199"/>
      <c r="DS64" s="199"/>
      <c r="DT64" s="199"/>
      <c r="DU64" s="199"/>
      <c r="DV64" s="199"/>
      <c r="DW64" s="199"/>
      <c r="DX64" s="199"/>
      <c r="DY64" s="199"/>
      <c r="DZ64" s="199"/>
      <c r="EA64" s="199"/>
      <c r="EB64" s="199"/>
      <c r="EC64" s="199"/>
      <c r="ED64" s="199"/>
      <c r="EE64" s="199"/>
      <c r="EF64" s="199"/>
      <c r="EG64" s="199"/>
      <c r="EH64" s="199"/>
      <c r="EI64" s="199"/>
      <c r="EJ64" s="199"/>
      <c r="EK64" s="199"/>
      <c r="EL64" s="199"/>
      <c r="EM64" s="199"/>
      <c r="EN64" s="199"/>
      <c r="EO64" s="199"/>
      <c r="EP64" s="199"/>
      <c r="EQ64" s="199"/>
      <c r="ER64" s="199"/>
      <c r="ES64" s="199"/>
      <c r="ET64" s="199"/>
      <c r="EV64" s="190" t="s">
        <v>82</v>
      </c>
    </row>
    <row r="65" spans="5:152" ht="15" customHeight="1" outlineLevel="1" x14ac:dyDescent="0.3">
      <c r="EV65" s="190" t="s">
        <v>82</v>
      </c>
    </row>
    <row r="66" spans="5:152" ht="15" customHeight="1" outlineLevel="1" x14ac:dyDescent="0.3">
      <c r="E66" s="37" t="s">
        <v>89</v>
      </c>
      <c r="F66" s="51">
        <f>I4</f>
        <v>0.15</v>
      </c>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c r="EA66" s="52"/>
      <c r="EB66" s="52"/>
      <c r="EC66" s="52"/>
      <c r="ED66" s="52"/>
      <c r="EE66" s="52"/>
      <c r="EF66" s="52"/>
      <c r="EG66" s="52"/>
      <c r="EH66" s="52"/>
      <c r="EI66" s="52"/>
      <c r="EJ66" s="52"/>
      <c r="EK66" s="52"/>
      <c r="EL66" s="52"/>
      <c r="EM66" s="52"/>
      <c r="EN66" s="52"/>
      <c r="EO66" s="52"/>
      <c r="EP66" s="52"/>
      <c r="EQ66" s="52"/>
      <c r="ER66" s="52"/>
      <c r="ES66" s="52"/>
      <c r="ET66" s="52"/>
      <c r="EV66" s="190" t="s">
        <v>82</v>
      </c>
    </row>
    <row r="67" spans="5:152" s="190" customFormat="1" ht="15" customHeight="1" outlineLevel="1" x14ac:dyDescent="0.3">
      <c r="E67" s="44"/>
      <c r="F67" s="53">
        <f>(1+F66)^(1/365)</f>
        <v>1.000382982750339</v>
      </c>
      <c r="G67" s="54">
        <f t="shared" ref="G67:AL67" si="104">+G$8</f>
        <v>45292</v>
      </c>
      <c r="H67" s="54">
        <f t="shared" si="104"/>
        <v>45657</v>
      </c>
      <c r="I67" s="54">
        <f t="shared" si="104"/>
        <v>46022</v>
      </c>
      <c r="J67" s="54">
        <f t="shared" si="104"/>
        <v>46387</v>
      </c>
      <c r="K67" s="54">
        <f t="shared" si="104"/>
        <v>46752</v>
      </c>
      <c r="L67" s="54">
        <f t="shared" si="104"/>
        <v>47118</v>
      </c>
      <c r="M67" s="54">
        <f t="shared" si="104"/>
        <v>47483</v>
      </c>
      <c r="N67" s="54">
        <f t="shared" si="104"/>
        <v>47848</v>
      </c>
      <c r="O67" s="54">
        <f t="shared" si="104"/>
        <v>48213</v>
      </c>
      <c r="P67" s="54">
        <f t="shared" si="104"/>
        <v>48579</v>
      </c>
      <c r="Q67" s="54">
        <f t="shared" si="104"/>
        <v>48944</v>
      </c>
      <c r="R67" s="54">
        <f t="shared" si="104"/>
        <v>49309</v>
      </c>
      <c r="S67" s="54">
        <f t="shared" si="104"/>
        <v>0</v>
      </c>
      <c r="T67" s="54">
        <f t="shared" si="104"/>
        <v>0</v>
      </c>
      <c r="U67" s="54">
        <f t="shared" si="104"/>
        <v>0</v>
      </c>
      <c r="V67" s="54">
        <f t="shared" si="104"/>
        <v>0</v>
      </c>
      <c r="W67" s="54">
        <f t="shared" si="104"/>
        <v>0</v>
      </c>
      <c r="X67" s="54">
        <f t="shared" si="104"/>
        <v>0</v>
      </c>
      <c r="Y67" s="54">
        <f t="shared" si="104"/>
        <v>0</v>
      </c>
      <c r="Z67" s="54">
        <f t="shared" si="104"/>
        <v>0</v>
      </c>
      <c r="AA67" s="54">
        <f t="shared" si="104"/>
        <v>0</v>
      </c>
      <c r="AB67" s="54">
        <f t="shared" si="104"/>
        <v>0</v>
      </c>
      <c r="AC67" s="54">
        <f t="shared" si="104"/>
        <v>0</v>
      </c>
      <c r="AD67" s="54">
        <f t="shared" si="104"/>
        <v>0</v>
      </c>
      <c r="AE67" s="54">
        <f t="shared" si="104"/>
        <v>0</v>
      </c>
      <c r="AF67" s="54">
        <f t="shared" si="104"/>
        <v>0</v>
      </c>
      <c r="AG67" s="54">
        <f t="shared" si="104"/>
        <v>0</v>
      </c>
      <c r="AH67" s="54">
        <f t="shared" si="104"/>
        <v>0</v>
      </c>
      <c r="AI67" s="54">
        <f t="shared" si="104"/>
        <v>0</v>
      </c>
      <c r="AJ67" s="54">
        <f t="shared" si="104"/>
        <v>0</v>
      </c>
      <c r="AK67" s="54">
        <f t="shared" si="104"/>
        <v>0</v>
      </c>
      <c r="AL67" s="54">
        <f t="shared" si="104"/>
        <v>0</v>
      </c>
      <c r="AM67" s="54">
        <f t="shared" ref="AM67:BR67" si="105">+AM$8</f>
        <v>0</v>
      </c>
      <c r="AN67" s="54">
        <f t="shared" si="105"/>
        <v>0</v>
      </c>
      <c r="AO67" s="54">
        <f t="shared" si="105"/>
        <v>0</v>
      </c>
      <c r="AP67" s="54">
        <f t="shared" si="105"/>
        <v>0</v>
      </c>
      <c r="AQ67" s="54">
        <f t="shared" si="105"/>
        <v>0</v>
      </c>
      <c r="AR67" s="54">
        <f t="shared" si="105"/>
        <v>0</v>
      </c>
      <c r="AS67" s="54">
        <f t="shared" si="105"/>
        <v>0</v>
      </c>
      <c r="AT67" s="54">
        <f t="shared" si="105"/>
        <v>0</v>
      </c>
      <c r="AU67" s="54">
        <f t="shared" si="105"/>
        <v>0</v>
      </c>
      <c r="AV67" s="54">
        <f t="shared" si="105"/>
        <v>0</v>
      </c>
      <c r="AW67" s="54">
        <f t="shared" si="105"/>
        <v>0</v>
      </c>
      <c r="AX67" s="54">
        <f t="shared" si="105"/>
        <v>0</v>
      </c>
      <c r="AY67" s="54">
        <f t="shared" si="105"/>
        <v>0</v>
      </c>
      <c r="AZ67" s="54">
        <f t="shared" si="105"/>
        <v>0</v>
      </c>
      <c r="BA67" s="54">
        <f t="shared" si="105"/>
        <v>0</v>
      </c>
      <c r="BB67" s="54">
        <f t="shared" si="105"/>
        <v>0</v>
      </c>
      <c r="BC67" s="54">
        <f t="shared" si="105"/>
        <v>0</v>
      </c>
      <c r="BD67" s="54">
        <f t="shared" si="105"/>
        <v>0</v>
      </c>
      <c r="BE67" s="54">
        <f t="shared" si="105"/>
        <v>0</v>
      </c>
      <c r="BF67" s="54">
        <f t="shared" si="105"/>
        <v>0</v>
      </c>
      <c r="BG67" s="54">
        <f t="shared" si="105"/>
        <v>0</v>
      </c>
      <c r="BH67" s="54">
        <f t="shared" si="105"/>
        <v>0</v>
      </c>
      <c r="BI67" s="54">
        <f t="shared" si="105"/>
        <v>0</v>
      </c>
      <c r="BJ67" s="54">
        <f t="shared" si="105"/>
        <v>0</v>
      </c>
      <c r="BK67" s="54">
        <f t="shared" si="105"/>
        <v>0</v>
      </c>
      <c r="BL67" s="54">
        <f t="shared" si="105"/>
        <v>0</v>
      </c>
      <c r="BM67" s="54">
        <f t="shared" si="105"/>
        <v>0</v>
      </c>
      <c r="BN67" s="54">
        <f t="shared" si="105"/>
        <v>0</v>
      </c>
      <c r="BO67" s="54">
        <f t="shared" si="105"/>
        <v>0</v>
      </c>
      <c r="BP67" s="54">
        <f t="shared" si="105"/>
        <v>0</v>
      </c>
      <c r="BQ67" s="54">
        <f t="shared" si="105"/>
        <v>0</v>
      </c>
      <c r="BR67" s="54">
        <f t="shared" si="105"/>
        <v>0</v>
      </c>
      <c r="BS67" s="54">
        <f t="shared" ref="BS67:ED67" si="106">+BS$8</f>
        <v>0</v>
      </c>
      <c r="BT67" s="54">
        <f t="shared" si="106"/>
        <v>0</v>
      </c>
      <c r="BU67" s="54">
        <f t="shared" si="106"/>
        <v>0</v>
      </c>
      <c r="BV67" s="54">
        <f t="shared" si="106"/>
        <v>0</v>
      </c>
      <c r="BW67" s="54">
        <f t="shared" si="106"/>
        <v>0</v>
      </c>
      <c r="BX67" s="54">
        <f t="shared" si="106"/>
        <v>0</v>
      </c>
      <c r="BY67" s="54">
        <f t="shared" si="106"/>
        <v>0</v>
      </c>
      <c r="BZ67" s="54">
        <f t="shared" si="106"/>
        <v>0</v>
      </c>
      <c r="CA67" s="54">
        <f t="shared" si="106"/>
        <v>0</v>
      </c>
      <c r="CB67" s="54">
        <f t="shared" si="106"/>
        <v>0</v>
      </c>
      <c r="CC67" s="54">
        <f t="shared" si="106"/>
        <v>0</v>
      </c>
      <c r="CD67" s="54">
        <f t="shared" si="106"/>
        <v>0</v>
      </c>
      <c r="CE67" s="54">
        <f t="shared" si="106"/>
        <v>0</v>
      </c>
      <c r="CF67" s="54">
        <f t="shared" si="106"/>
        <v>0</v>
      </c>
      <c r="CG67" s="54">
        <f t="shared" si="106"/>
        <v>0</v>
      </c>
      <c r="CH67" s="54">
        <f t="shared" si="106"/>
        <v>0</v>
      </c>
      <c r="CI67" s="54">
        <f t="shared" si="106"/>
        <v>0</v>
      </c>
      <c r="CJ67" s="54">
        <f t="shared" si="106"/>
        <v>0</v>
      </c>
      <c r="CK67" s="54">
        <f t="shared" si="106"/>
        <v>0</v>
      </c>
      <c r="CL67" s="54">
        <f t="shared" si="106"/>
        <v>0</v>
      </c>
      <c r="CM67" s="54">
        <f t="shared" si="106"/>
        <v>0</v>
      </c>
      <c r="CN67" s="54">
        <f t="shared" si="106"/>
        <v>0</v>
      </c>
      <c r="CO67" s="54">
        <f t="shared" si="106"/>
        <v>0</v>
      </c>
      <c r="CP67" s="54">
        <f t="shared" si="106"/>
        <v>0</v>
      </c>
      <c r="CQ67" s="54">
        <f t="shared" si="106"/>
        <v>0</v>
      </c>
      <c r="CR67" s="54">
        <f t="shared" si="106"/>
        <v>0</v>
      </c>
      <c r="CS67" s="54">
        <f t="shared" si="106"/>
        <v>0</v>
      </c>
      <c r="CT67" s="54">
        <f t="shared" si="106"/>
        <v>0</v>
      </c>
      <c r="CU67" s="54">
        <f t="shared" si="106"/>
        <v>0</v>
      </c>
      <c r="CV67" s="54">
        <f t="shared" si="106"/>
        <v>0</v>
      </c>
      <c r="CW67" s="54">
        <f t="shared" si="106"/>
        <v>0</v>
      </c>
      <c r="CX67" s="54">
        <f t="shared" si="106"/>
        <v>0</v>
      </c>
      <c r="CY67" s="54">
        <f t="shared" si="106"/>
        <v>0</v>
      </c>
      <c r="CZ67" s="54">
        <f t="shared" si="106"/>
        <v>0</v>
      </c>
      <c r="DA67" s="54">
        <f t="shared" si="106"/>
        <v>0</v>
      </c>
      <c r="DB67" s="54">
        <f t="shared" si="106"/>
        <v>0</v>
      </c>
      <c r="DC67" s="54">
        <f t="shared" si="106"/>
        <v>0</v>
      </c>
      <c r="DD67" s="54">
        <f t="shared" si="106"/>
        <v>0</v>
      </c>
      <c r="DE67" s="54">
        <f t="shared" si="106"/>
        <v>0</v>
      </c>
      <c r="DF67" s="54">
        <f t="shared" si="106"/>
        <v>0</v>
      </c>
      <c r="DG67" s="54">
        <f t="shared" si="106"/>
        <v>0</v>
      </c>
      <c r="DH67" s="54">
        <f t="shared" si="106"/>
        <v>0</v>
      </c>
      <c r="DI67" s="54">
        <f t="shared" si="106"/>
        <v>0</v>
      </c>
      <c r="DJ67" s="54">
        <f t="shared" si="106"/>
        <v>0</v>
      </c>
      <c r="DK67" s="54">
        <f t="shared" si="106"/>
        <v>0</v>
      </c>
      <c r="DL67" s="54">
        <f t="shared" si="106"/>
        <v>0</v>
      </c>
      <c r="DM67" s="54">
        <f t="shared" si="106"/>
        <v>0</v>
      </c>
      <c r="DN67" s="54">
        <f t="shared" si="106"/>
        <v>0</v>
      </c>
      <c r="DO67" s="54">
        <f t="shared" si="106"/>
        <v>0</v>
      </c>
      <c r="DP67" s="54">
        <f t="shared" si="106"/>
        <v>0</v>
      </c>
      <c r="DQ67" s="54">
        <f t="shared" si="106"/>
        <v>0</v>
      </c>
      <c r="DR67" s="54">
        <f t="shared" si="106"/>
        <v>0</v>
      </c>
      <c r="DS67" s="54">
        <f t="shared" si="106"/>
        <v>0</v>
      </c>
      <c r="DT67" s="54">
        <f t="shared" si="106"/>
        <v>0</v>
      </c>
      <c r="DU67" s="54">
        <f t="shared" si="106"/>
        <v>0</v>
      </c>
      <c r="DV67" s="54">
        <f t="shared" si="106"/>
        <v>0</v>
      </c>
      <c r="DW67" s="54">
        <f t="shared" si="106"/>
        <v>0</v>
      </c>
      <c r="DX67" s="54">
        <f t="shared" si="106"/>
        <v>0</v>
      </c>
      <c r="DY67" s="54">
        <f t="shared" si="106"/>
        <v>0</v>
      </c>
      <c r="DZ67" s="54">
        <f t="shared" si="106"/>
        <v>0</v>
      </c>
      <c r="EA67" s="54">
        <f t="shared" si="106"/>
        <v>0</v>
      </c>
      <c r="EB67" s="54">
        <f t="shared" si="106"/>
        <v>0</v>
      </c>
      <c r="EC67" s="54">
        <f t="shared" si="106"/>
        <v>0</v>
      </c>
      <c r="ED67" s="54">
        <f t="shared" si="106"/>
        <v>0</v>
      </c>
      <c r="EE67" s="54">
        <f t="shared" ref="EE67:ET67" si="107">+EE$8</f>
        <v>0</v>
      </c>
      <c r="EF67" s="54">
        <f t="shared" si="107"/>
        <v>0</v>
      </c>
      <c r="EG67" s="54">
        <f t="shared" si="107"/>
        <v>0</v>
      </c>
      <c r="EH67" s="54">
        <f t="shared" si="107"/>
        <v>0</v>
      </c>
      <c r="EI67" s="54">
        <f t="shared" si="107"/>
        <v>0</v>
      </c>
      <c r="EJ67" s="54">
        <f t="shared" si="107"/>
        <v>0</v>
      </c>
      <c r="EK67" s="54">
        <f t="shared" si="107"/>
        <v>0</v>
      </c>
      <c r="EL67" s="54">
        <f t="shared" si="107"/>
        <v>0</v>
      </c>
      <c r="EM67" s="54">
        <f t="shared" si="107"/>
        <v>0</v>
      </c>
      <c r="EN67" s="54">
        <f t="shared" si="107"/>
        <v>0</v>
      </c>
      <c r="EO67" s="54">
        <f t="shared" si="107"/>
        <v>0</v>
      </c>
      <c r="EP67" s="54">
        <f t="shared" si="107"/>
        <v>0</v>
      </c>
      <c r="EQ67" s="54">
        <f t="shared" si="107"/>
        <v>0</v>
      </c>
      <c r="ER67" s="54">
        <f t="shared" si="107"/>
        <v>0</v>
      </c>
      <c r="ES67" s="54">
        <f t="shared" si="107"/>
        <v>0</v>
      </c>
      <c r="ET67" s="54">
        <f t="shared" si="107"/>
        <v>0</v>
      </c>
      <c r="EV67" s="190" t="s">
        <v>82</v>
      </c>
    </row>
    <row r="68" spans="5:152" ht="15" customHeight="1" outlineLevel="1" x14ac:dyDescent="0.3">
      <c r="E68" t="s">
        <v>93</v>
      </c>
      <c r="G68" s="198">
        <v>0</v>
      </c>
      <c r="H68" s="199">
        <f>+G74</f>
        <v>-1016124675.9072572</v>
      </c>
      <c r="I68" s="199">
        <f t="shared" ref="I68:N68" si="108">+H74</f>
        <v>-1128821183.6068685</v>
      </c>
      <c r="J68" s="199">
        <f t="shared" si="108"/>
        <v>-1235735699.1114233</v>
      </c>
      <c r="K68" s="199">
        <f t="shared" si="108"/>
        <v>-1340158010.8836627</v>
      </c>
      <c r="L68" s="199">
        <f t="shared" si="108"/>
        <v>-1454920175.19138</v>
      </c>
      <c r="M68" s="199">
        <f t="shared" si="108"/>
        <v>-1582692650.4790049</v>
      </c>
      <c r="N68" s="199">
        <f t="shared" si="108"/>
        <v>-1808430769.2861006</v>
      </c>
      <c r="O68" s="199">
        <f>+N74</f>
        <v>-1989818845.8674624</v>
      </c>
      <c r="P68" s="199">
        <f t="shared" ref="P68:CA68" si="109">+O74</f>
        <v>-2195481468.4282932</v>
      </c>
      <c r="Q68" s="199">
        <f t="shared" si="109"/>
        <v>-2429383379.8561211</v>
      </c>
      <c r="R68" s="199">
        <f t="shared" si="109"/>
        <v>-1283858697.8292491</v>
      </c>
      <c r="S68" s="199">
        <f t="shared" si="109"/>
        <v>-1476437502.5036552</v>
      </c>
      <c r="T68" s="199">
        <f t="shared" si="109"/>
        <v>-9.3186409473419189</v>
      </c>
      <c r="U68" s="199">
        <f t="shared" si="109"/>
        <v>-9.3186409473419189</v>
      </c>
      <c r="V68" s="199">
        <f t="shared" si="109"/>
        <v>-9.3186409473419189</v>
      </c>
      <c r="W68" s="199">
        <f t="shared" si="109"/>
        <v>-9.3186409473419189</v>
      </c>
      <c r="X68" s="199">
        <f t="shared" si="109"/>
        <v>-9.3186409473419189</v>
      </c>
      <c r="Y68" s="199">
        <f t="shared" si="109"/>
        <v>-9.3186409473419189</v>
      </c>
      <c r="Z68" s="199">
        <f t="shared" si="109"/>
        <v>-9.3186409473419189</v>
      </c>
      <c r="AA68" s="199">
        <f t="shared" si="109"/>
        <v>-9.3186409473419189</v>
      </c>
      <c r="AB68" s="199">
        <f t="shared" si="109"/>
        <v>-9.3186409473419189</v>
      </c>
      <c r="AC68" s="199">
        <f t="shared" si="109"/>
        <v>-9.3186409473419189</v>
      </c>
      <c r="AD68" s="199">
        <f t="shared" si="109"/>
        <v>-9.3186409473419189</v>
      </c>
      <c r="AE68" s="199">
        <f t="shared" si="109"/>
        <v>-9.3186409473419189</v>
      </c>
      <c r="AF68" s="199">
        <f t="shared" si="109"/>
        <v>-9.3186409473419189</v>
      </c>
      <c r="AG68" s="199">
        <f t="shared" si="109"/>
        <v>-9.3186409473419189</v>
      </c>
      <c r="AH68" s="199">
        <f t="shared" si="109"/>
        <v>-9.3186409473419189</v>
      </c>
      <c r="AI68" s="199">
        <f t="shared" si="109"/>
        <v>-9.3186409473419189</v>
      </c>
      <c r="AJ68" s="199">
        <f t="shared" si="109"/>
        <v>-9.3186409473419189</v>
      </c>
      <c r="AK68" s="199">
        <f t="shared" si="109"/>
        <v>-9.3186409473419189</v>
      </c>
      <c r="AL68" s="199">
        <f t="shared" si="109"/>
        <v>-9.3186409473419189</v>
      </c>
      <c r="AM68" s="199">
        <f t="shared" si="109"/>
        <v>-9.3186409473419189</v>
      </c>
      <c r="AN68" s="199">
        <f t="shared" si="109"/>
        <v>-9.3186409473419189</v>
      </c>
      <c r="AO68" s="199">
        <f t="shared" si="109"/>
        <v>-9.3186409473419189</v>
      </c>
      <c r="AP68" s="199">
        <f t="shared" si="109"/>
        <v>-9.3186409473419189</v>
      </c>
      <c r="AQ68" s="199">
        <f t="shared" si="109"/>
        <v>-9.3186409473419189</v>
      </c>
      <c r="AR68" s="199">
        <f t="shared" si="109"/>
        <v>-9.3186409473419189</v>
      </c>
      <c r="AS68" s="199">
        <f t="shared" si="109"/>
        <v>-9.3186409473419189</v>
      </c>
      <c r="AT68" s="199">
        <f t="shared" si="109"/>
        <v>-9.3186409473419189</v>
      </c>
      <c r="AU68" s="199">
        <f t="shared" si="109"/>
        <v>-9.3186409473419189</v>
      </c>
      <c r="AV68" s="199">
        <f t="shared" si="109"/>
        <v>-9.3186409473419189</v>
      </c>
      <c r="AW68" s="199">
        <f t="shared" si="109"/>
        <v>-9.3186409473419189</v>
      </c>
      <c r="AX68" s="199">
        <f t="shared" si="109"/>
        <v>-9.3186409473419189</v>
      </c>
      <c r="AY68" s="199">
        <f t="shared" si="109"/>
        <v>-9.3186409473419189</v>
      </c>
      <c r="AZ68" s="199">
        <f t="shared" si="109"/>
        <v>-9.3186409473419189</v>
      </c>
      <c r="BA68" s="199">
        <f t="shared" si="109"/>
        <v>-9.3186409473419189</v>
      </c>
      <c r="BB68" s="199">
        <f t="shared" si="109"/>
        <v>-9.3186409473419189</v>
      </c>
      <c r="BC68" s="199">
        <f t="shared" si="109"/>
        <v>-9.3186409473419189</v>
      </c>
      <c r="BD68" s="199">
        <f t="shared" si="109"/>
        <v>-9.3186409473419189</v>
      </c>
      <c r="BE68" s="199">
        <f t="shared" si="109"/>
        <v>-9.3186409473419189</v>
      </c>
      <c r="BF68" s="199">
        <f t="shared" si="109"/>
        <v>-9.3186409473419189</v>
      </c>
      <c r="BG68" s="199">
        <f t="shared" si="109"/>
        <v>-9.3186409473419189</v>
      </c>
      <c r="BH68" s="199">
        <f t="shared" si="109"/>
        <v>-9.3186409473419189</v>
      </c>
      <c r="BI68" s="199">
        <f t="shared" si="109"/>
        <v>-9.3186409473419189</v>
      </c>
      <c r="BJ68" s="199">
        <f t="shared" si="109"/>
        <v>-9.3186409473419189</v>
      </c>
      <c r="BK68" s="199">
        <f t="shared" si="109"/>
        <v>-9.3186409473419189</v>
      </c>
      <c r="BL68" s="199">
        <f t="shared" si="109"/>
        <v>-9.3186409473419189</v>
      </c>
      <c r="BM68" s="199">
        <f t="shared" si="109"/>
        <v>-9.3186409473419189</v>
      </c>
      <c r="BN68" s="199">
        <f t="shared" si="109"/>
        <v>-9.3186409473419189</v>
      </c>
      <c r="BO68" s="199">
        <f t="shared" si="109"/>
        <v>-9.3186409473419189</v>
      </c>
      <c r="BP68" s="199">
        <f t="shared" si="109"/>
        <v>-9.3186409473419189</v>
      </c>
      <c r="BQ68" s="199">
        <f t="shared" si="109"/>
        <v>-9.3186409473419189</v>
      </c>
      <c r="BR68" s="199">
        <f t="shared" si="109"/>
        <v>-9.3186409473419189</v>
      </c>
      <c r="BS68" s="199">
        <f t="shared" si="109"/>
        <v>-9.3186409473419189</v>
      </c>
      <c r="BT68" s="199">
        <f t="shared" si="109"/>
        <v>-9.3186409473419189</v>
      </c>
      <c r="BU68" s="199">
        <f t="shared" si="109"/>
        <v>-9.3186409473419189</v>
      </c>
      <c r="BV68" s="199">
        <f t="shared" si="109"/>
        <v>-9.3186409473419189</v>
      </c>
      <c r="BW68" s="199">
        <f t="shared" si="109"/>
        <v>-9.3186409473419189</v>
      </c>
      <c r="BX68" s="199">
        <f t="shared" si="109"/>
        <v>-9.3186409473419189</v>
      </c>
      <c r="BY68" s="199">
        <f t="shared" si="109"/>
        <v>-9.3186409473419189</v>
      </c>
      <c r="BZ68" s="199">
        <f t="shared" si="109"/>
        <v>-9.3186409473419189</v>
      </c>
      <c r="CA68" s="199">
        <f t="shared" si="109"/>
        <v>-9.3186409473419189</v>
      </c>
      <c r="CB68" s="199">
        <f t="shared" ref="CB68:EM68" si="110">+CA74</f>
        <v>-9.3186409473419189</v>
      </c>
      <c r="CC68" s="199">
        <f t="shared" si="110"/>
        <v>-9.3186409473419189</v>
      </c>
      <c r="CD68" s="199">
        <f t="shared" si="110"/>
        <v>-9.3186409473419189</v>
      </c>
      <c r="CE68" s="199">
        <f t="shared" si="110"/>
        <v>-9.3186409473419189</v>
      </c>
      <c r="CF68" s="199">
        <f t="shared" si="110"/>
        <v>-9.3186409473419189</v>
      </c>
      <c r="CG68" s="199">
        <f t="shared" si="110"/>
        <v>-9.3186409473419189</v>
      </c>
      <c r="CH68" s="199">
        <f t="shared" si="110"/>
        <v>-9.3186409473419189</v>
      </c>
      <c r="CI68" s="199">
        <f t="shared" si="110"/>
        <v>-9.3186409473419189</v>
      </c>
      <c r="CJ68" s="199">
        <f t="shared" si="110"/>
        <v>-9.3186409473419189</v>
      </c>
      <c r="CK68" s="199">
        <f t="shared" si="110"/>
        <v>-9.3186409473419189</v>
      </c>
      <c r="CL68" s="199">
        <f t="shared" si="110"/>
        <v>-9.3186409473419189</v>
      </c>
      <c r="CM68" s="199">
        <f t="shared" si="110"/>
        <v>-9.3186409473419189</v>
      </c>
      <c r="CN68" s="199">
        <f t="shared" si="110"/>
        <v>-9.3186409473419189</v>
      </c>
      <c r="CO68" s="199">
        <f t="shared" si="110"/>
        <v>-9.3186409473419189</v>
      </c>
      <c r="CP68" s="199">
        <f t="shared" si="110"/>
        <v>-9.3186409473419189</v>
      </c>
      <c r="CQ68" s="199">
        <f t="shared" si="110"/>
        <v>-9.3186409473419189</v>
      </c>
      <c r="CR68" s="199">
        <f t="shared" si="110"/>
        <v>-9.3186409473419189</v>
      </c>
      <c r="CS68" s="199">
        <f t="shared" si="110"/>
        <v>-9.3186409473419189</v>
      </c>
      <c r="CT68" s="199">
        <f t="shared" si="110"/>
        <v>-9.3186409473419189</v>
      </c>
      <c r="CU68" s="199">
        <f t="shared" si="110"/>
        <v>-9.3186409473419189</v>
      </c>
      <c r="CV68" s="199">
        <f t="shared" si="110"/>
        <v>-9.3186409473419189</v>
      </c>
      <c r="CW68" s="199">
        <f t="shared" si="110"/>
        <v>-9.3186409473419189</v>
      </c>
      <c r="CX68" s="199">
        <f t="shared" si="110"/>
        <v>-9.3186409473419189</v>
      </c>
      <c r="CY68" s="199">
        <f t="shared" si="110"/>
        <v>-9.3186409473419189</v>
      </c>
      <c r="CZ68" s="199">
        <f t="shared" si="110"/>
        <v>-9.3186409473419189</v>
      </c>
      <c r="DA68" s="199">
        <f t="shared" si="110"/>
        <v>-9.3186409473419189</v>
      </c>
      <c r="DB68" s="199">
        <f t="shared" si="110"/>
        <v>-9.3186409473419189</v>
      </c>
      <c r="DC68" s="199">
        <f t="shared" si="110"/>
        <v>-9.3186409473419189</v>
      </c>
      <c r="DD68" s="199">
        <f t="shared" si="110"/>
        <v>-9.3186409473419189</v>
      </c>
      <c r="DE68" s="199">
        <f t="shared" si="110"/>
        <v>-9.3186409473419189</v>
      </c>
      <c r="DF68" s="199">
        <f t="shared" si="110"/>
        <v>-9.3186409473419189</v>
      </c>
      <c r="DG68" s="199">
        <f t="shared" si="110"/>
        <v>-9.3186409473419189</v>
      </c>
      <c r="DH68" s="199">
        <f t="shared" si="110"/>
        <v>-9.3186409473419189</v>
      </c>
      <c r="DI68" s="199">
        <f t="shared" si="110"/>
        <v>-9.3186409473419189</v>
      </c>
      <c r="DJ68" s="199">
        <f t="shared" si="110"/>
        <v>-9.3186409473419189</v>
      </c>
      <c r="DK68" s="199">
        <f t="shared" si="110"/>
        <v>-9.3186409473419189</v>
      </c>
      <c r="DL68" s="199">
        <f t="shared" si="110"/>
        <v>-9.3186409473419189</v>
      </c>
      <c r="DM68" s="199">
        <f t="shared" si="110"/>
        <v>-9.3186409473419189</v>
      </c>
      <c r="DN68" s="199">
        <f t="shared" si="110"/>
        <v>-9.3186409473419189</v>
      </c>
      <c r="DO68" s="199">
        <f t="shared" si="110"/>
        <v>-9.3186409473419189</v>
      </c>
      <c r="DP68" s="199">
        <f t="shared" si="110"/>
        <v>-9.3186409473419189</v>
      </c>
      <c r="DQ68" s="199">
        <f t="shared" si="110"/>
        <v>-9.3186409473419189</v>
      </c>
      <c r="DR68" s="199">
        <f t="shared" si="110"/>
        <v>-9.3186409473419189</v>
      </c>
      <c r="DS68" s="199">
        <f t="shared" si="110"/>
        <v>-9.3186409473419189</v>
      </c>
      <c r="DT68" s="199">
        <f t="shared" si="110"/>
        <v>-9.3186409473419189</v>
      </c>
      <c r="DU68" s="199">
        <f t="shared" si="110"/>
        <v>-9.3186409473419189</v>
      </c>
      <c r="DV68" s="199">
        <f t="shared" si="110"/>
        <v>-9.3186409473419189</v>
      </c>
      <c r="DW68" s="199">
        <f t="shared" si="110"/>
        <v>-9.3186409473419189</v>
      </c>
      <c r="DX68" s="199">
        <f t="shared" si="110"/>
        <v>-9.3186409473419189</v>
      </c>
      <c r="DY68" s="199">
        <f t="shared" si="110"/>
        <v>-9.3186409473419189</v>
      </c>
      <c r="DZ68" s="199">
        <f t="shared" si="110"/>
        <v>-9.3186409473419189</v>
      </c>
      <c r="EA68" s="199">
        <f t="shared" si="110"/>
        <v>-9.3186409473419189</v>
      </c>
      <c r="EB68" s="199">
        <f t="shared" si="110"/>
        <v>-9.3186409473419189</v>
      </c>
      <c r="EC68" s="199">
        <f t="shared" si="110"/>
        <v>-9.3186409473419189</v>
      </c>
      <c r="ED68" s="199">
        <f t="shared" si="110"/>
        <v>-9.3186409473419189</v>
      </c>
      <c r="EE68" s="199">
        <f t="shared" si="110"/>
        <v>-9.3186409473419189</v>
      </c>
      <c r="EF68" s="199">
        <f t="shared" si="110"/>
        <v>-9.3186409473419189</v>
      </c>
      <c r="EG68" s="199">
        <f t="shared" si="110"/>
        <v>-9.3186409473419189</v>
      </c>
      <c r="EH68" s="199">
        <f t="shared" si="110"/>
        <v>-9.3186409473419189</v>
      </c>
      <c r="EI68" s="199">
        <f t="shared" si="110"/>
        <v>-9.3186409473419189</v>
      </c>
      <c r="EJ68" s="199">
        <f t="shared" si="110"/>
        <v>-9.3186409473419189</v>
      </c>
      <c r="EK68" s="199">
        <f t="shared" si="110"/>
        <v>-9.3186409473419189</v>
      </c>
      <c r="EL68" s="199">
        <f t="shared" si="110"/>
        <v>-9.3186409473419189</v>
      </c>
      <c r="EM68" s="199">
        <f t="shared" si="110"/>
        <v>-9.3186409473419189</v>
      </c>
      <c r="EN68" s="199">
        <f t="shared" ref="EN68:ET68" si="111">+EM74</f>
        <v>-9.3186409473419189</v>
      </c>
      <c r="EO68" s="199">
        <f t="shared" si="111"/>
        <v>-9.3186409473419189</v>
      </c>
      <c r="EP68" s="199">
        <f t="shared" si="111"/>
        <v>-9.3186409473419189</v>
      </c>
      <c r="EQ68" s="199">
        <f t="shared" si="111"/>
        <v>-9.3186409473419189</v>
      </c>
      <c r="ER68" s="199">
        <f t="shared" si="111"/>
        <v>-9.3186409473419189</v>
      </c>
      <c r="ES68" s="199">
        <f t="shared" si="111"/>
        <v>-9.3186409473419189</v>
      </c>
      <c r="ET68" s="199">
        <f t="shared" si="111"/>
        <v>-9.3186409473419189</v>
      </c>
      <c r="EV68" s="190" t="s">
        <v>82</v>
      </c>
    </row>
    <row r="69" spans="5:152" ht="15" customHeight="1" outlineLevel="1" x14ac:dyDescent="0.3">
      <c r="E69" t="s">
        <v>94</v>
      </c>
      <c r="G69" s="199">
        <f t="shared" ref="G69:BR69" si="112">SUM(G$17)</f>
        <v>-1016124675.9072572</v>
      </c>
      <c r="H69" s="199">
        <f t="shared" si="112"/>
        <v>0</v>
      </c>
      <c r="I69" s="199">
        <f t="shared" si="112"/>
        <v>0</v>
      </c>
      <c r="J69" s="199">
        <f t="shared" si="112"/>
        <v>0</v>
      </c>
      <c r="K69" s="199">
        <f t="shared" si="112"/>
        <v>0</v>
      </c>
      <c r="L69" s="199">
        <f t="shared" si="112"/>
        <v>0</v>
      </c>
      <c r="M69" s="199">
        <f t="shared" si="112"/>
        <v>0</v>
      </c>
      <c r="N69" s="199">
        <f t="shared" si="112"/>
        <v>0</v>
      </c>
      <c r="O69" s="199">
        <f t="shared" si="112"/>
        <v>0</v>
      </c>
      <c r="P69" s="199">
        <f t="shared" si="112"/>
        <v>0</v>
      </c>
      <c r="Q69" s="199">
        <f t="shared" si="112"/>
        <v>0</v>
      </c>
      <c r="R69" s="199">
        <f t="shared" si="112"/>
        <v>0</v>
      </c>
      <c r="S69" s="199">
        <f t="shared" si="112"/>
        <v>0</v>
      </c>
      <c r="T69" s="199">
        <f t="shared" si="112"/>
        <v>0</v>
      </c>
      <c r="U69" s="199">
        <f t="shared" si="112"/>
        <v>0</v>
      </c>
      <c r="V69" s="199">
        <f t="shared" si="112"/>
        <v>0</v>
      </c>
      <c r="W69" s="199">
        <f t="shared" si="112"/>
        <v>0</v>
      </c>
      <c r="X69" s="199">
        <f t="shared" si="112"/>
        <v>0</v>
      </c>
      <c r="Y69" s="199">
        <f t="shared" si="112"/>
        <v>0</v>
      </c>
      <c r="Z69" s="199">
        <f t="shared" si="112"/>
        <v>0</v>
      </c>
      <c r="AA69" s="199">
        <f t="shared" si="112"/>
        <v>0</v>
      </c>
      <c r="AB69" s="199">
        <f t="shared" si="112"/>
        <v>0</v>
      </c>
      <c r="AC69" s="199">
        <f t="shared" si="112"/>
        <v>0</v>
      </c>
      <c r="AD69" s="199">
        <f t="shared" si="112"/>
        <v>0</v>
      </c>
      <c r="AE69" s="199">
        <f t="shared" si="112"/>
        <v>0</v>
      </c>
      <c r="AF69" s="199">
        <f t="shared" si="112"/>
        <v>0</v>
      </c>
      <c r="AG69" s="199">
        <f t="shared" si="112"/>
        <v>0</v>
      </c>
      <c r="AH69" s="199">
        <f t="shared" si="112"/>
        <v>0</v>
      </c>
      <c r="AI69" s="199">
        <f t="shared" si="112"/>
        <v>0</v>
      </c>
      <c r="AJ69" s="199">
        <f t="shared" si="112"/>
        <v>0</v>
      </c>
      <c r="AK69" s="199">
        <f t="shared" si="112"/>
        <v>0</v>
      </c>
      <c r="AL69" s="199">
        <f t="shared" si="112"/>
        <v>0</v>
      </c>
      <c r="AM69" s="199">
        <f t="shared" si="112"/>
        <v>0</v>
      </c>
      <c r="AN69" s="199">
        <f t="shared" si="112"/>
        <v>0</v>
      </c>
      <c r="AO69" s="199">
        <f t="shared" si="112"/>
        <v>0</v>
      </c>
      <c r="AP69" s="199">
        <f t="shared" si="112"/>
        <v>0</v>
      </c>
      <c r="AQ69" s="199">
        <f t="shared" si="112"/>
        <v>0</v>
      </c>
      <c r="AR69" s="199">
        <f t="shared" si="112"/>
        <v>0</v>
      </c>
      <c r="AS69" s="199">
        <f t="shared" si="112"/>
        <v>0</v>
      </c>
      <c r="AT69" s="199">
        <f t="shared" si="112"/>
        <v>0</v>
      </c>
      <c r="AU69" s="199">
        <f t="shared" si="112"/>
        <v>0</v>
      </c>
      <c r="AV69" s="199">
        <f t="shared" si="112"/>
        <v>0</v>
      </c>
      <c r="AW69" s="199">
        <f t="shared" si="112"/>
        <v>0</v>
      </c>
      <c r="AX69" s="199">
        <f t="shared" si="112"/>
        <v>0</v>
      </c>
      <c r="AY69" s="199">
        <f t="shared" si="112"/>
        <v>0</v>
      </c>
      <c r="AZ69" s="199">
        <f t="shared" si="112"/>
        <v>0</v>
      </c>
      <c r="BA69" s="199">
        <f t="shared" si="112"/>
        <v>0</v>
      </c>
      <c r="BB69" s="199">
        <f t="shared" si="112"/>
        <v>0</v>
      </c>
      <c r="BC69" s="199">
        <f t="shared" si="112"/>
        <v>0</v>
      </c>
      <c r="BD69" s="199">
        <f t="shared" si="112"/>
        <v>0</v>
      </c>
      <c r="BE69" s="199">
        <f t="shared" si="112"/>
        <v>0</v>
      </c>
      <c r="BF69" s="199">
        <f t="shared" si="112"/>
        <v>0</v>
      </c>
      <c r="BG69" s="199">
        <f t="shared" si="112"/>
        <v>0</v>
      </c>
      <c r="BH69" s="199">
        <f t="shared" si="112"/>
        <v>0</v>
      </c>
      <c r="BI69" s="199">
        <f t="shared" si="112"/>
        <v>0</v>
      </c>
      <c r="BJ69" s="199">
        <f t="shared" si="112"/>
        <v>0</v>
      </c>
      <c r="BK69" s="199">
        <f t="shared" si="112"/>
        <v>0</v>
      </c>
      <c r="BL69" s="199">
        <f t="shared" si="112"/>
        <v>0</v>
      </c>
      <c r="BM69" s="199">
        <f t="shared" si="112"/>
        <v>0</v>
      </c>
      <c r="BN69" s="199">
        <f t="shared" si="112"/>
        <v>0</v>
      </c>
      <c r="BO69" s="199">
        <f t="shared" si="112"/>
        <v>0</v>
      </c>
      <c r="BP69" s="199">
        <f t="shared" si="112"/>
        <v>0</v>
      </c>
      <c r="BQ69" s="199">
        <f t="shared" si="112"/>
        <v>0</v>
      </c>
      <c r="BR69" s="199">
        <f t="shared" si="112"/>
        <v>0</v>
      </c>
      <c r="BS69" s="199">
        <f t="shared" ref="BS69:ED69" si="113">SUM(BS$17)</f>
        <v>0</v>
      </c>
      <c r="BT69" s="199">
        <f t="shared" si="113"/>
        <v>0</v>
      </c>
      <c r="BU69" s="199">
        <f t="shared" si="113"/>
        <v>0</v>
      </c>
      <c r="BV69" s="199">
        <f t="shared" si="113"/>
        <v>0</v>
      </c>
      <c r="BW69" s="199">
        <f t="shared" si="113"/>
        <v>0</v>
      </c>
      <c r="BX69" s="199">
        <f t="shared" si="113"/>
        <v>0</v>
      </c>
      <c r="BY69" s="199">
        <f t="shared" si="113"/>
        <v>0</v>
      </c>
      <c r="BZ69" s="199">
        <f t="shared" si="113"/>
        <v>0</v>
      </c>
      <c r="CA69" s="199">
        <f t="shared" si="113"/>
        <v>0</v>
      </c>
      <c r="CB69" s="199">
        <f t="shared" si="113"/>
        <v>0</v>
      </c>
      <c r="CC69" s="199">
        <f t="shared" si="113"/>
        <v>0</v>
      </c>
      <c r="CD69" s="199">
        <f t="shared" si="113"/>
        <v>0</v>
      </c>
      <c r="CE69" s="199">
        <f t="shared" si="113"/>
        <v>0</v>
      </c>
      <c r="CF69" s="199">
        <f t="shared" si="113"/>
        <v>0</v>
      </c>
      <c r="CG69" s="199">
        <f t="shared" si="113"/>
        <v>0</v>
      </c>
      <c r="CH69" s="199">
        <f t="shared" si="113"/>
        <v>0</v>
      </c>
      <c r="CI69" s="199">
        <f t="shared" si="113"/>
        <v>0</v>
      </c>
      <c r="CJ69" s="199">
        <f t="shared" si="113"/>
        <v>0</v>
      </c>
      <c r="CK69" s="199">
        <f t="shared" si="113"/>
        <v>0</v>
      </c>
      <c r="CL69" s="199">
        <f t="shared" si="113"/>
        <v>0</v>
      </c>
      <c r="CM69" s="199">
        <f t="shared" si="113"/>
        <v>0</v>
      </c>
      <c r="CN69" s="199">
        <f t="shared" si="113"/>
        <v>0</v>
      </c>
      <c r="CO69" s="199">
        <f t="shared" si="113"/>
        <v>0</v>
      </c>
      <c r="CP69" s="199">
        <f t="shared" si="113"/>
        <v>0</v>
      </c>
      <c r="CQ69" s="199">
        <f t="shared" si="113"/>
        <v>0</v>
      </c>
      <c r="CR69" s="199">
        <f t="shared" si="113"/>
        <v>0</v>
      </c>
      <c r="CS69" s="199">
        <f t="shared" si="113"/>
        <v>0</v>
      </c>
      <c r="CT69" s="199">
        <f t="shared" si="113"/>
        <v>0</v>
      </c>
      <c r="CU69" s="199">
        <f t="shared" si="113"/>
        <v>0</v>
      </c>
      <c r="CV69" s="199">
        <f t="shared" si="113"/>
        <v>0</v>
      </c>
      <c r="CW69" s="199">
        <f t="shared" si="113"/>
        <v>0</v>
      </c>
      <c r="CX69" s="199">
        <f t="shared" si="113"/>
        <v>0</v>
      </c>
      <c r="CY69" s="199">
        <f t="shared" si="113"/>
        <v>0</v>
      </c>
      <c r="CZ69" s="199">
        <f t="shared" si="113"/>
        <v>0</v>
      </c>
      <c r="DA69" s="199">
        <f t="shared" si="113"/>
        <v>0</v>
      </c>
      <c r="DB69" s="199">
        <f t="shared" si="113"/>
        <v>0</v>
      </c>
      <c r="DC69" s="199">
        <f t="shared" si="113"/>
        <v>0</v>
      </c>
      <c r="DD69" s="199">
        <f t="shared" si="113"/>
        <v>0</v>
      </c>
      <c r="DE69" s="199">
        <f t="shared" si="113"/>
        <v>0</v>
      </c>
      <c r="DF69" s="199">
        <f t="shared" si="113"/>
        <v>0</v>
      </c>
      <c r="DG69" s="199">
        <f t="shared" si="113"/>
        <v>0</v>
      </c>
      <c r="DH69" s="199">
        <f t="shared" si="113"/>
        <v>0</v>
      </c>
      <c r="DI69" s="199">
        <f t="shared" si="113"/>
        <v>0</v>
      </c>
      <c r="DJ69" s="199">
        <f t="shared" si="113"/>
        <v>0</v>
      </c>
      <c r="DK69" s="199">
        <f t="shared" si="113"/>
        <v>0</v>
      </c>
      <c r="DL69" s="199">
        <f t="shared" si="113"/>
        <v>0</v>
      </c>
      <c r="DM69" s="199">
        <f t="shared" si="113"/>
        <v>0</v>
      </c>
      <c r="DN69" s="199">
        <f t="shared" si="113"/>
        <v>0</v>
      </c>
      <c r="DO69" s="199">
        <f t="shared" si="113"/>
        <v>0</v>
      </c>
      <c r="DP69" s="199">
        <f t="shared" si="113"/>
        <v>0</v>
      </c>
      <c r="DQ69" s="199">
        <f t="shared" si="113"/>
        <v>0</v>
      </c>
      <c r="DR69" s="199">
        <f t="shared" si="113"/>
        <v>0</v>
      </c>
      <c r="DS69" s="199">
        <f t="shared" si="113"/>
        <v>0</v>
      </c>
      <c r="DT69" s="199">
        <f t="shared" si="113"/>
        <v>0</v>
      </c>
      <c r="DU69" s="199">
        <f t="shared" si="113"/>
        <v>0</v>
      </c>
      <c r="DV69" s="199">
        <f t="shared" si="113"/>
        <v>0</v>
      </c>
      <c r="DW69" s="199">
        <f t="shared" si="113"/>
        <v>0</v>
      </c>
      <c r="DX69" s="199">
        <f t="shared" si="113"/>
        <v>0</v>
      </c>
      <c r="DY69" s="199">
        <f t="shared" si="113"/>
        <v>0</v>
      </c>
      <c r="DZ69" s="199">
        <f t="shared" si="113"/>
        <v>0</v>
      </c>
      <c r="EA69" s="199">
        <f t="shared" si="113"/>
        <v>0</v>
      </c>
      <c r="EB69" s="199">
        <f t="shared" si="113"/>
        <v>0</v>
      </c>
      <c r="EC69" s="199">
        <f t="shared" si="113"/>
        <v>0</v>
      </c>
      <c r="ED69" s="199">
        <f t="shared" si="113"/>
        <v>0</v>
      </c>
      <c r="EE69" s="199">
        <f t="shared" ref="EE69:ET69" si="114">SUM(EE$17)</f>
        <v>0</v>
      </c>
      <c r="EF69" s="199">
        <f t="shared" si="114"/>
        <v>0</v>
      </c>
      <c r="EG69" s="199">
        <f t="shared" si="114"/>
        <v>0</v>
      </c>
      <c r="EH69" s="199">
        <f t="shared" si="114"/>
        <v>0</v>
      </c>
      <c r="EI69" s="199">
        <f t="shared" si="114"/>
        <v>0</v>
      </c>
      <c r="EJ69" s="199">
        <f t="shared" si="114"/>
        <v>0</v>
      </c>
      <c r="EK69" s="199">
        <f t="shared" si="114"/>
        <v>0</v>
      </c>
      <c r="EL69" s="199">
        <f t="shared" si="114"/>
        <v>0</v>
      </c>
      <c r="EM69" s="199">
        <f t="shared" si="114"/>
        <v>0</v>
      </c>
      <c r="EN69" s="199">
        <f t="shared" si="114"/>
        <v>0</v>
      </c>
      <c r="EO69" s="199">
        <f t="shared" si="114"/>
        <v>0</v>
      </c>
      <c r="EP69" s="199">
        <f t="shared" si="114"/>
        <v>0</v>
      </c>
      <c r="EQ69" s="199">
        <f t="shared" si="114"/>
        <v>0</v>
      </c>
      <c r="ER69" s="199">
        <f t="shared" si="114"/>
        <v>0</v>
      </c>
      <c r="ES69" s="199">
        <f t="shared" si="114"/>
        <v>0</v>
      </c>
      <c r="ET69" s="199">
        <f t="shared" si="114"/>
        <v>0</v>
      </c>
      <c r="EV69" s="190" t="s">
        <v>82</v>
      </c>
    </row>
    <row r="70" spans="5:152" ht="15" customHeight="1" outlineLevel="1" x14ac:dyDescent="0.3">
      <c r="E70" t="s">
        <v>95</v>
      </c>
      <c r="G70" s="199">
        <v>0</v>
      </c>
      <c r="H70" s="199">
        <f>H68*$F$67^(H67-G67)-H68</f>
        <v>-152418701.38610327</v>
      </c>
      <c r="I70" s="199">
        <f t="shared" ref="I70:BT70" si="115">I68*$F$67^(I67-H67)-I68</f>
        <v>-169323177.54104662</v>
      </c>
      <c r="J70" s="199">
        <f t="shared" si="115"/>
        <v>-185360354.86673141</v>
      </c>
      <c r="K70" s="199">
        <f t="shared" si="115"/>
        <v>-201023701.63256884</v>
      </c>
      <c r="L70" s="199">
        <f t="shared" si="115"/>
        <v>-218878817.0084796</v>
      </c>
      <c r="M70" s="199">
        <f t="shared" si="115"/>
        <v>-237403897.57187366</v>
      </c>
      <c r="N70" s="199">
        <f t="shared" si="115"/>
        <v>-271264615.39294147</v>
      </c>
      <c r="O70" s="199">
        <f t="shared" si="115"/>
        <v>-298472826.88014817</v>
      </c>
      <c r="P70" s="199">
        <f t="shared" si="115"/>
        <v>-330289176.52503777</v>
      </c>
      <c r="Q70" s="199">
        <f t="shared" si="115"/>
        <v>-364407506.97845364</v>
      </c>
      <c r="R70" s="199">
        <f t="shared" si="115"/>
        <v>-192578804.67440605</v>
      </c>
      <c r="S70" s="199">
        <f t="shared" si="115"/>
        <v>1476437493.1850142</v>
      </c>
      <c r="T70" s="199">
        <f t="shared" si="115"/>
        <v>0</v>
      </c>
      <c r="U70" s="199">
        <f t="shared" si="115"/>
        <v>0</v>
      </c>
      <c r="V70" s="199">
        <f t="shared" si="115"/>
        <v>0</v>
      </c>
      <c r="W70" s="199">
        <f t="shared" si="115"/>
        <v>0</v>
      </c>
      <c r="X70" s="199">
        <f t="shared" si="115"/>
        <v>0</v>
      </c>
      <c r="Y70" s="199">
        <f t="shared" si="115"/>
        <v>0</v>
      </c>
      <c r="Z70" s="199">
        <f t="shared" si="115"/>
        <v>0</v>
      </c>
      <c r="AA70" s="199">
        <f t="shared" si="115"/>
        <v>0</v>
      </c>
      <c r="AB70" s="199">
        <f t="shared" si="115"/>
        <v>0</v>
      </c>
      <c r="AC70" s="199">
        <f t="shared" si="115"/>
        <v>0</v>
      </c>
      <c r="AD70" s="199">
        <f t="shared" si="115"/>
        <v>0</v>
      </c>
      <c r="AE70" s="199">
        <f t="shared" si="115"/>
        <v>0</v>
      </c>
      <c r="AF70" s="199">
        <f t="shared" si="115"/>
        <v>0</v>
      </c>
      <c r="AG70" s="199">
        <f t="shared" si="115"/>
        <v>0</v>
      </c>
      <c r="AH70" s="199">
        <f t="shared" si="115"/>
        <v>0</v>
      </c>
      <c r="AI70" s="199">
        <f t="shared" si="115"/>
        <v>0</v>
      </c>
      <c r="AJ70" s="199">
        <f t="shared" si="115"/>
        <v>0</v>
      </c>
      <c r="AK70" s="199">
        <f t="shared" si="115"/>
        <v>0</v>
      </c>
      <c r="AL70" s="199">
        <f t="shared" si="115"/>
        <v>0</v>
      </c>
      <c r="AM70" s="199">
        <f t="shared" si="115"/>
        <v>0</v>
      </c>
      <c r="AN70" s="199">
        <f t="shared" si="115"/>
        <v>0</v>
      </c>
      <c r="AO70" s="199">
        <f t="shared" si="115"/>
        <v>0</v>
      </c>
      <c r="AP70" s="199">
        <f t="shared" si="115"/>
        <v>0</v>
      </c>
      <c r="AQ70" s="199">
        <f t="shared" si="115"/>
        <v>0</v>
      </c>
      <c r="AR70" s="199">
        <f t="shared" si="115"/>
        <v>0</v>
      </c>
      <c r="AS70" s="199">
        <f t="shared" si="115"/>
        <v>0</v>
      </c>
      <c r="AT70" s="199">
        <f t="shared" si="115"/>
        <v>0</v>
      </c>
      <c r="AU70" s="199">
        <f t="shared" si="115"/>
        <v>0</v>
      </c>
      <c r="AV70" s="199">
        <f t="shared" si="115"/>
        <v>0</v>
      </c>
      <c r="AW70" s="199">
        <f t="shared" si="115"/>
        <v>0</v>
      </c>
      <c r="AX70" s="199">
        <f t="shared" si="115"/>
        <v>0</v>
      </c>
      <c r="AY70" s="199">
        <f t="shared" si="115"/>
        <v>0</v>
      </c>
      <c r="AZ70" s="199">
        <f t="shared" si="115"/>
        <v>0</v>
      </c>
      <c r="BA70" s="199">
        <f t="shared" si="115"/>
        <v>0</v>
      </c>
      <c r="BB70" s="199">
        <f t="shared" si="115"/>
        <v>0</v>
      </c>
      <c r="BC70" s="199">
        <f t="shared" si="115"/>
        <v>0</v>
      </c>
      <c r="BD70" s="199">
        <f t="shared" si="115"/>
        <v>0</v>
      </c>
      <c r="BE70" s="199">
        <f t="shared" si="115"/>
        <v>0</v>
      </c>
      <c r="BF70" s="199">
        <f t="shared" si="115"/>
        <v>0</v>
      </c>
      <c r="BG70" s="199">
        <f t="shared" si="115"/>
        <v>0</v>
      </c>
      <c r="BH70" s="199">
        <f t="shared" si="115"/>
        <v>0</v>
      </c>
      <c r="BI70" s="199">
        <f t="shared" si="115"/>
        <v>0</v>
      </c>
      <c r="BJ70" s="199">
        <f t="shared" si="115"/>
        <v>0</v>
      </c>
      <c r="BK70" s="199">
        <f t="shared" si="115"/>
        <v>0</v>
      </c>
      <c r="BL70" s="199">
        <f t="shared" si="115"/>
        <v>0</v>
      </c>
      <c r="BM70" s="199">
        <f t="shared" si="115"/>
        <v>0</v>
      </c>
      <c r="BN70" s="199">
        <f t="shared" si="115"/>
        <v>0</v>
      </c>
      <c r="BO70" s="199">
        <f t="shared" si="115"/>
        <v>0</v>
      </c>
      <c r="BP70" s="199">
        <f t="shared" si="115"/>
        <v>0</v>
      </c>
      <c r="BQ70" s="199">
        <f t="shared" si="115"/>
        <v>0</v>
      </c>
      <c r="BR70" s="199">
        <f t="shared" si="115"/>
        <v>0</v>
      </c>
      <c r="BS70" s="199">
        <f t="shared" si="115"/>
        <v>0</v>
      </c>
      <c r="BT70" s="199">
        <f t="shared" si="115"/>
        <v>0</v>
      </c>
      <c r="BU70" s="199">
        <f t="shared" ref="BU70:EF70" si="116">BU68*$F$67^(BU67-BT67)-BU68</f>
        <v>0</v>
      </c>
      <c r="BV70" s="199">
        <f t="shared" si="116"/>
        <v>0</v>
      </c>
      <c r="BW70" s="199">
        <f t="shared" si="116"/>
        <v>0</v>
      </c>
      <c r="BX70" s="199">
        <f t="shared" si="116"/>
        <v>0</v>
      </c>
      <c r="BY70" s="199">
        <f t="shared" si="116"/>
        <v>0</v>
      </c>
      <c r="BZ70" s="199">
        <f t="shared" si="116"/>
        <v>0</v>
      </c>
      <c r="CA70" s="199">
        <f t="shared" si="116"/>
        <v>0</v>
      </c>
      <c r="CB70" s="199">
        <f t="shared" si="116"/>
        <v>0</v>
      </c>
      <c r="CC70" s="199">
        <f t="shared" si="116"/>
        <v>0</v>
      </c>
      <c r="CD70" s="199">
        <f t="shared" si="116"/>
        <v>0</v>
      </c>
      <c r="CE70" s="199">
        <f t="shared" si="116"/>
        <v>0</v>
      </c>
      <c r="CF70" s="199">
        <f t="shared" si="116"/>
        <v>0</v>
      </c>
      <c r="CG70" s="199">
        <f t="shared" si="116"/>
        <v>0</v>
      </c>
      <c r="CH70" s="199">
        <f t="shared" si="116"/>
        <v>0</v>
      </c>
      <c r="CI70" s="199">
        <f t="shared" si="116"/>
        <v>0</v>
      </c>
      <c r="CJ70" s="199">
        <f t="shared" si="116"/>
        <v>0</v>
      </c>
      <c r="CK70" s="199">
        <f t="shared" si="116"/>
        <v>0</v>
      </c>
      <c r="CL70" s="199">
        <f t="shared" si="116"/>
        <v>0</v>
      </c>
      <c r="CM70" s="199">
        <f t="shared" si="116"/>
        <v>0</v>
      </c>
      <c r="CN70" s="199">
        <f t="shared" si="116"/>
        <v>0</v>
      </c>
      <c r="CO70" s="199">
        <f t="shared" si="116"/>
        <v>0</v>
      </c>
      <c r="CP70" s="199">
        <f t="shared" si="116"/>
        <v>0</v>
      </c>
      <c r="CQ70" s="199">
        <f t="shared" si="116"/>
        <v>0</v>
      </c>
      <c r="CR70" s="199">
        <f t="shared" si="116"/>
        <v>0</v>
      </c>
      <c r="CS70" s="199">
        <f t="shared" si="116"/>
        <v>0</v>
      </c>
      <c r="CT70" s="199">
        <f t="shared" si="116"/>
        <v>0</v>
      </c>
      <c r="CU70" s="199">
        <f t="shared" si="116"/>
        <v>0</v>
      </c>
      <c r="CV70" s="199">
        <f t="shared" si="116"/>
        <v>0</v>
      </c>
      <c r="CW70" s="199">
        <f t="shared" si="116"/>
        <v>0</v>
      </c>
      <c r="CX70" s="199">
        <f t="shared" si="116"/>
        <v>0</v>
      </c>
      <c r="CY70" s="199">
        <f t="shared" si="116"/>
        <v>0</v>
      </c>
      <c r="CZ70" s="199">
        <f t="shared" si="116"/>
        <v>0</v>
      </c>
      <c r="DA70" s="199">
        <f t="shared" si="116"/>
        <v>0</v>
      </c>
      <c r="DB70" s="199">
        <f t="shared" si="116"/>
        <v>0</v>
      </c>
      <c r="DC70" s="199">
        <f t="shared" si="116"/>
        <v>0</v>
      </c>
      <c r="DD70" s="199">
        <f t="shared" si="116"/>
        <v>0</v>
      </c>
      <c r="DE70" s="199">
        <f t="shared" si="116"/>
        <v>0</v>
      </c>
      <c r="DF70" s="199">
        <f t="shared" si="116"/>
        <v>0</v>
      </c>
      <c r="DG70" s="199">
        <f t="shared" si="116"/>
        <v>0</v>
      </c>
      <c r="DH70" s="199">
        <f t="shared" si="116"/>
        <v>0</v>
      </c>
      <c r="DI70" s="199">
        <f t="shared" si="116"/>
        <v>0</v>
      </c>
      <c r="DJ70" s="199">
        <f t="shared" si="116"/>
        <v>0</v>
      </c>
      <c r="DK70" s="199">
        <f t="shared" si="116"/>
        <v>0</v>
      </c>
      <c r="DL70" s="199">
        <f t="shared" si="116"/>
        <v>0</v>
      </c>
      <c r="DM70" s="199">
        <f t="shared" si="116"/>
        <v>0</v>
      </c>
      <c r="DN70" s="199">
        <f t="shared" si="116"/>
        <v>0</v>
      </c>
      <c r="DO70" s="199">
        <f t="shared" si="116"/>
        <v>0</v>
      </c>
      <c r="DP70" s="199">
        <f t="shared" si="116"/>
        <v>0</v>
      </c>
      <c r="DQ70" s="199">
        <f t="shared" si="116"/>
        <v>0</v>
      </c>
      <c r="DR70" s="199">
        <f t="shared" si="116"/>
        <v>0</v>
      </c>
      <c r="DS70" s="199">
        <f t="shared" si="116"/>
        <v>0</v>
      </c>
      <c r="DT70" s="199">
        <f t="shared" si="116"/>
        <v>0</v>
      </c>
      <c r="DU70" s="199">
        <f t="shared" si="116"/>
        <v>0</v>
      </c>
      <c r="DV70" s="199">
        <f t="shared" si="116"/>
        <v>0</v>
      </c>
      <c r="DW70" s="199">
        <f t="shared" si="116"/>
        <v>0</v>
      </c>
      <c r="DX70" s="199">
        <f t="shared" si="116"/>
        <v>0</v>
      </c>
      <c r="DY70" s="199">
        <f t="shared" si="116"/>
        <v>0</v>
      </c>
      <c r="DZ70" s="199">
        <f t="shared" si="116"/>
        <v>0</v>
      </c>
      <c r="EA70" s="199">
        <f t="shared" si="116"/>
        <v>0</v>
      </c>
      <c r="EB70" s="199">
        <f t="shared" si="116"/>
        <v>0</v>
      </c>
      <c r="EC70" s="199">
        <f t="shared" si="116"/>
        <v>0</v>
      </c>
      <c r="ED70" s="199">
        <f t="shared" si="116"/>
        <v>0</v>
      </c>
      <c r="EE70" s="199">
        <f t="shared" si="116"/>
        <v>0</v>
      </c>
      <c r="EF70" s="199">
        <f t="shared" si="116"/>
        <v>0</v>
      </c>
      <c r="EG70" s="199">
        <f t="shared" ref="EG70:ET70" si="117">EG68*$F$67^(EG67-EF67)-EG68</f>
        <v>0</v>
      </c>
      <c r="EH70" s="199">
        <f t="shared" si="117"/>
        <v>0</v>
      </c>
      <c r="EI70" s="199">
        <f t="shared" si="117"/>
        <v>0</v>
      </c>
      <c r="EJ70" s="199">
        <f t="shared" si="117"/>
        <v>0</v>
      </c>
      <c r="EK70" s="199">
        <f t="shared" si="117"/>
        <v>0</v>
      </c>
      <c r="EL70" s="199">
        <f t="shared" si="117"/>
        <v>0</v>
      </c>
      <c r="EM70" s="199">
        <f t="shared" si="117"/>
        <v>0</v>
      </c>
      <c r="EN70" s="199">
        <f t="shared" si="117"/>
        <v>0</v>
      </c>
      <c r="EO70" s="199">
        <f t="shared" si="117"/>
        <v>0</v>
      </c>
      <c r="EP70" s="199">
        <f t="shared" si="117"/>
        <v>0</v>
      </c>
      <c r="EQ70" s="199">
        <f t="shared" si="117"/>
        <v>0</v>
      </c>
      <c r="ER70" s="199">
        <f t="shared" si="117"/>
        <v>0</v>
      </c>
      <c r="ES70" s="199">
        <f t="shared" si="117"/>
        <v>0</v>
      </c>
      <c r="ET70" s="199">
        <f t="shared" si="117"/>
        <v>0</v>
      </c>
      <c r="EV70" s="190" t="s">
        <v>82</v>
      </c>
    </row>
    <row r="71" spans="5:152" ht="15" customHeight="1" outlineLevel="1" x14ac:dyDescent="0.3">
      <c r="E71" t="s">
        <v>97</v>
      </c>
      <c r="G71" s="199">
        <f>+G68*$F$55</f>
        <v>0</v>
      </c>
      <c r="H71" s="199">
        <f t="shared" ref="H71:BS71" si="118">+H61</f>
        <v>39722193.686491989</v>
      </c>
      <c r="I71" s="199">
        <f t="shared" si="118"/>
        <v>62408662.036491983</v>
      </c>
      <c r="J71" s="199">
        <f t="shared" si="118"/>
        <v>80938043.094491974</v>
      </c>
      <c r="K71" s="199">
        <f t="shared" si="118"/>
        <v>86261537.324851528</v>
      </c>
      <c r="L71" s="199">
        <f t="shared" si="118"/>
        <v>91106341.720854744</v>
      </c>
      <c r="M71" s="199">
        <f t="shared" si="118"/>
        <v>11665778.764778009</v>
      </c>
      <c r="N71" s="199">
        <f t="shared" si="118"/>
        <v>89876538.811579734</v>
      </c>
      <c r="O71" s="199">
        <f t="shared" si="118"/>
        <v>92810204.31931752</v>
      </c>
      <c r="P71" s="199">
        <f t="shared" si="118"/>
        <v>96387265.097210035</v>
      </c>
      <c r="Q71" s="199">
        <f t="shared" si="118"/>
        <v>1509932189.0053256</v>
      </c>
      <c r="R71" s="199">
        <f t="shared" si="118"/>
        <v>0</v>
      </c>
      <c r="S71" s="199">
        <f t="shared" si="118"/>
        <v>0</v>
      </c>
      <c r="T71" s="199">
        <f t="shared" si="118"/>
        <v>0</v>
      </c>
      <c r="U71" s="199">
        <f t="shared" si="118"/>
        <v>0</v>
      </c>
      <c r="V71" s="199">
        <f t="shared" si="118"/>
        <v>0</v>
      </c>
      <c r="W71" s="199">
        <f t="shared" si="118"/>
        <v>0</v>
      </c>
      <c r="X71" s="199">
        <f t="shared" si="118"/>
        <v>0</v>
      </c>
      <c r="Y71" s="199">
        <f t="shared" si="118"/>
        <v>0</v>
      </c>
      <c r="Z71" s="199">
        <f t="shared" si="118"/>
        <v>0</v>
      </c>
      <c r="AA71" s="199">
        <f t="shared" si="118"/>
        <v>0</v>
      </c>
      <c r="AB71" s="199">
        <f t="shared" si="118"/>
        <v>0</v>
      </c>
      <c r="AC71" s="199">
        <f t="shared" si="118"/>
        <v>0</v>
      </c>
      <c r="AD71" s="199">
        <f t="shared" si="118"/>
        <v>0</v>
      </c>
      <c r="AE71" s="199">
        <f t="shared" si="118"/>
        <v>0</v>
      </c>
      <c r="AF71" s="199">
        <f t="shared" si="118"/>
        <v>0</v>
      </c>
      <c r="AG71" s="199">
        <f t="shared" si="118"/>
        <v>0</v>
      </c>
      <c r="AH71" s="199">
        <f t="shared" si="118"/>
        <v>0</v>
      </c>
      <c r="AI71" s="199">
        <f t="shared" si="118"/>
        <v>0</v>
      </c>
      <c r="AJ71" s="199">
        <f t="shared" si="118"/>
        <v>0</v>
      </c>
      <c r="AK71" s="199">
        <f t="shared" si="118"/>
        <v>0</v>
      </c>
      <c r="AL71" s="199">
        <f t="shared" si="118"/>
        <v>0</v>
      </c>
      <c r="AM71" s="199">
        <f t="shared" si="118"/>
        <v>0</v>
      </c>
      <c r="AN71" s="199">
        <f t="shared" si="118"/>
        <v>0</v>
      </c>
      <c r="AO71" s="199">
        <f t="shared" si="118"/>
        <v>0</v>
      </c>
      <c r="AP71" s="199">
        <f t="shared" si="118"/>
        <v>0</v>
      </c>
      <c r="AQ71" s="199">
        <f t="shared" si="118"/>
        <v>0</v>
      </c>
      <c r="AR71" s="199">
        <f t="shared" si="118"/>
        <v>0</v>
      </c>
      <c r="AS71" s="199">
        <f t="shared" si="118"/>
        <v>0</v>
      </c>
      <c r="AT71" s="199">
        <f t="shared" si="118"/>
        <v>0</v>
      </c>
      <c r="AU71" s="199">
        <f t="shared" si="118"/>
        <v>0</v>
      </c>
      <c r="AV71" s="199">
        <f t="shared" si="118"/>
        <v>0</v>
      </c>
      <c r="AW71" s="199">
        <f t="shared" si="118"/>
        <v>0</v>
      </c>
      <c r="AX71" s="199">
        <f t="shared" si="118"/>
        <v>0</v>
      </c>
      <c r="AY71" s="199">
        <f t="shared" si="118"/>
        <v>0</v>
      </c>
      <c r="AZ71" s="199">
        <f t="shared" si="118"/>
        <v>0</v>
      </c>
      <c r="BA71" s="199">
        <f t="shared" si="118"/>
        <v>0</v>
      </c>
      <c r="BB71" s="199">
        <f t="shared" si="118"/>
        <v>0</v>
      </c>
      <c r="BC71" s="199">
        <f t="shared" si="118"/>
        <v>0</v>
      </c>
      <c r="BD71" s="199">
        <f t="shared" si="118"/>
        <v>0</v>
      </c>
      <c r="BE71" s="199">
        <f t="shared" si="118"/>
        <v>0</v>
      </c>
      <c r="BF71" s="199">
        <f t="shared" si="118"/>
        <v>0</v>
      </c>
      <c r="BG71" s="199">
        <f t="shared" si="118"/>
        <v>0</v>
      </c>
      <c r="BH71" s="199">
        <f t="shared" si="118"/>
        <v>0</v>
      </c>
      <c r="BI71" s="199">
        <f t="shared" si="118"/>
        <v>0</v>
      </c>
      <c r="BJ71" s="199">
        <f t="shared" si="118"/>
        <v>0</v>
      </c>
      <c r="BK71" s="199">
        <f t="shared" si="118"/>
        <v>0</v>
      </c>
      <c r="BL71" s="199">
        <f t="shared" si="118"/>
        <v>0</v>
      </c>
      <c r="BM71" s="199">
        <f t="shared" si="118"/>
        <v>0</v>
      </c>
      <c r="BN71" s="199">
        <f t="shared" si="118"/>
        <v>0</v>
      </c>
      <c r="BO71" s="199">
        <f t="shared" si="118"/>
        <v>0</v>
      </c>
      <c r="BP71" s="199">
        <f t="shared" si="118"/>
        <v>0</v>
      </c>
      <c r="BQ71" s="199">
        <f t="shared" si="118"/>
        <v>0</v>
      </c>
      <c r="BR71" s="199">
        <f t="shared" si="118"/>
        <v>0</v>
      </c>
      <c r="BS71" s="199">
        <f t="shared" si="118"/>
        <v>0</v>
      </c>
      <c r="BT71" s="199">
        <f t="shared" ref="BT71:EE71" si="119">+BT61</f>
        <v>0</v>
      </c>
      <c r="BU71" s="199">
        <f t="shared" si="119"/>
        <v>0</v>
      </c>
      <c r="BV71" s="199">
        <f t="shared" si="119"/>
        <v>0</v>
      </c>
      <c r="BW71" s="199">
        <f t="shared" si="119"/>
        <v>0</v>
      </c>
      <c r="BX71" s="199">
        <f t="shared" si="119"/>
        <v>0</v>
      </c>
      <c r="BY71" s="199">
        <f t="shared" si="119"/>
        <v>0</v>
      </c>
      <c r="BZ71" s="199">
        <f t="shared" si="119"/>
        <v>0</v>
      </c>
      <c r="CA71" s="199">
        <f t="shared" si="119"/>
        <v>0</v>
      </c>
      <c r="CB71" s="199">
        <f t="shared" si="119"/>
        <v>0</v>
      </c>
      <c r="CC71" s="199">
        <f t="shared" si="119"/>
        <v>0</v>
      </c>
      <c r="CD71" s="199">
        <f t="shared" si="119"/>
        <v>0</v>
      </c>
      <c r="CE71" s="199">
        <f t="shared" si="119"/>
        <v>0</v>
      </c>
      <c r="CF71" s="199">
        <f t="shared" si="119"/>
        <v>0</v>
      </c>
      <c r="CG71" s="199">
        <f t="shared" si="119"/>
        <v>0</v>
      </c>
      <c r="CH71" s="199">
        <f t="shared" si="119"/>
        <v>0</v>
      </c>
      <c r="CI71" s="199">
        <f t="shared" si="119"/>
        <v>0</v>
      </c>
      <c r="CJ71" s="199">
        <f t="shared" si="119"/>
        <v>0</v>
      </c>
      <c r="CK71" s="199">
        <f t="shared" si="119"/>
        <v>0</v>
      </c>
      <c r="CL71" s="199">
        <f t="shared" si="119"/>
        <v>0</v>
      </c>
      <c r="CM71" s="199">
        <f t="shared" si="119"/>
        <v>0</v>
      </c>
      <c r="CN71" s="199">
        <f t="shared" si="119"/>
        <v>0</v>
      </c>
      <c r="CO71" s="199">
        <f t="shared" si="119"/>
        <v>0</v>
      </c>
      <c r="CP71" s="199">
        <f t="shared" si="119"/>
        <v>0</v>
      </c>
      <c r="CQ71" s="199">
        <f t="shared" si="119"/>
        <v>0</v>
      </c>
      <c r="CR71" s="199">
        <f t="shared" si="119"/>
        <v>0</v>
      </c>
      <c r="CS71" s="199">
        <f t="shared" si="119"/>
        <v>0</v>
      </c>
      <c r="CT71" s="199">
        <f t="shared" si="119"/>
        <v>0</v>
      </c>
      <c r="CU71" s="199">
        <f t="shared" si="119"/>
        <v>0</v>
      </c>
      <c r="CV71" s="199">
        <f t="shared" si="119"/>
        <v>0</v>
      </c>
      <c r="CW71" s="199">
        <f t="shared" si="119"/>
        <v>0</v>
      </c>
      <c r="CX71" s="199">
        <f t="shared" si="119"/>
        <v>0</v>
      </c>
      <c r="CY71" s="199">
        <f t="shared" si="119"/>
        <v>0</v>
      </c>
      <c r="CZ71" s="199">
        <f t="shared" si="119"/>
        <v>0</v>
      </c>
      <c r="DA71" s="199">
        <f t="shared" si="119"/>
        <v>0</v>
      </c>
      <c r="DB71" s="199">
        <f t="shared" si="119"/>
        <v>0</v>
      </c>
      <c r="DC71" s="199">
        <f t="shared" si="119"/>
        <v>0</v>
      </c>
      <c r="DD71" s="199">
        <f t="shared" si="119"/>
        <v>0</v>
      </c>
      <c r="DE71" s="199">
        <f t="shared" si="119"/>
        <v>0</v>
      </c>
      <c r="DF71" s="199">
        <f t="shared" si="119"/>
        <v>0</v>
      </c>
      <c r="DG71" s="199">
        <f t="shared" si="119"/>
        <v>0</v>
      </c>
      <c r="DH71" s="199">
        <f t="shared" si="119"/>
        <v>0</v>
      </c>
      <c r="DI71" s="199">
        <f t="shared" si="119"/>
        <v>0</v>
      </c>
      <c r="DJ71" s="199">
        <f t="shared" si="119"/>
        <v>0</v>
      </c>
      <c r="DK71" s="199">
        <f t="shared" si="119"/>
        <v>0</v>
      </c>
      <c r="DL71" s="199">
        <f t="shared" si="119"/>
        <v>0</v>
      </c>
      <c r="DM71" s="199">
        <f t="shared" si="119"/>
        <v>0</v>
      </c>
      <c r="DN71" s="199">
        <f t="shared" si="119"/>
        <v>0</v>
      </c>
      <c r="DO71" s="199">
        <f t="shared" si="119"/>
        <v>0</v>
      </c>
      <c r="DP71" s="199">
        <f t="shared" si="119"/>
        <v>0</v>
      </c>
      <c r="DQ71" s="199">
        <f t="shared" si="119"/>
        <v>0</v>
      </c>
      <c r="DR71" s="199">
        <f t="shared" si="119"/>
        <v>0</v>
      </c>
      <c r="DS71" s="199">
        <f t="shared" si="119"/>
        <v>0</v>
      </c>
      <c r="DT71" s="199">
        <f t="shared" si="119"/>
        <v>0</v>
      </c>
      <c r="DU71" s="199">
        <f t="shared" si="119"/>
        <v>0</v>
      </c>
      <c r="DV71" s="199">
        <f t="shared" si="119"/>
        <v>0</v>
      </c>
      <c r="DW71" s="199">
        <f t="shared" si="119"/>
        <v>0</v>
      </c>
      <c r="DX71" s="199">
        <f t="shared" si="119"/>
        <v>0</v>
      </c>
      <c r="DY71" s="199">
        <f t="shared" si="119"/>
        <v>0</v>
      </c>
      <c r="DZ71" s="199">
        <f t="shared" si="119"/>
        <v>0</v>
      </c>
      <c r="EA71" s="199">
        <f t="shared" si="119"/>
        <v>0</v>
      </c>
      <c r="EB71" s="199">
        <f t="shared" si="119"/>
        <v>0</v>
      </c>
      <c r="EC71" s="199">
        <f t="shared" si="119"/>
        <v>0</v>
      </c>
      <c r="ED71" s="199">
        <f t="shared" si="119"/>
        <v>0</v>
      </c>
      <c r="EE71" s="199">
        <f t="shared" si="119"/>
        <v>0</v>
      </c>
      <c r="EF71" s="199">
        <f t="shared" ref="EF71:ET71" si="120">+EF61</f>
        <v>0</v>
      </c>
      <c r="EG71" s="199">
        <f t="shared" si="120"/>
        <v>0</v>
      </c>
      <c r="EH71" s="199">
        <f t="shared" si="120"/>
        <v>0</v>
      </c>
      <c r="EI71" s="199">
        <f t="shared" si="120"/>
        <v>0</v>
      </c>
      <c r="EJ71" s="199">
        <f t="shared" si="120"/>
        <v>0</v>
      </c>
      <c r="EK71" s="199">
        <f t="shared" si="120"/>
        <v>0</v>
      </c>
      <c r="EL71" s="199">
        <f t="shared" si="120"/>
        <v>0</v>
      </c>
      <c r="EM71" s="199">
        <f t="shared" si="120"/>
        <v>0</v>
      </c>
      <c r="EN71" s="199">
        <f t="shared" si="120"/>
        <v>0</v>
      </c>
      <c r="EO71" s="199">
        <f t="shared" si="120"/>
        <v>0</v>
      </c>
      <c r="EP71" s="199">
        <f t="shared" si="120"/>
        <v>0</v>
      </c>
      <c r="EQ71" s="199">
        <f t="shared" si="120"/>
        <v>0</v>
      </c>
      <c r="ER71" s="199">
        <f t="shared" si="120"/>
        <v>0</v>
      </c>
      <c r="ES71" s="199">
        <f t="shared" si="120"/>
        <v>0</v>
      </c>
      <c r="ET71" s="199">
        <f t="shared" si="120"/>
        <v>0</v>
      </c>
      <c r="EV71" s="190" t="s">
        <v>82</v>
      </c>
    </row>
    <row r="72" spans="5:152" ht="15" customHeight="1" outlineLevel="1" x14ac:dyDescent="0.3">
      <c r="E72" t="s">
        <v>96</v>
      </c>
      <c r="G72" s="199">
        <f>SUM(G68:G71)</f>
        <v>-1016124675.9072572</v>
      </c>
      <c r="H72" s="199">
        <f t="shared" ref="H72:BS72" si="121">SUM(H68:H71)</f>
        <v>-1128821183.6068685</v>
      </c>
      <c r="I72" s="199">
        <f t="shared" si="121"/>
        <v>-1235735699.1114233</v>
      </c>
      <c r="J72" s="199">
        <f t="shared" si="121"/>
        <v>-1340158010.8836627</v>
      </c>
      <c r="K72" s="199">
        <f t="shared" si="121"/>
        <v>-1454920175.19138</v>
      </c>
      <c r="L72" s="199">
        <f t="shared" si="121"/>
        <v>-1582692650.4790049</v>
      </c>
      <c r="M72" s="199">
        <f t="shared" si="121"/>
        <v>-1808430769.2861006</v>
      </c>
      <c r="N72" s="199">
        <f t="shared" si="121"/>
        <v>-1989818845.8674624</v>
      </c>
      <c r="O72" s="199">
        <f t="shared" si="121"/>
        <v>-2195481468.4282932</v>
      </c>
      <c r="P72" s="199">
        <f t="shared" si="121"/>
        <v>-2429383379.8561211</v>
      </c>
      <c r="Q72" s="199">
        <f t="shared" si="121"/>
        <v>-1283858697.8292491</v>
      </c>
      <c r="R72" s="199">
        <f t="shared" si="121"/>
        <v>-1476437502.5036552</v>
      </c>
      <c r="S72" s="199">
        <f t="shared" si="121"/>
        <v>-9.3186409473419189</v>
      </c>
      <c r="T72" s="199">
        <f t="shared" si="121"/>
        <v>-9.3186409473419189</v>
      </c>
      <c r="U72" s="199">
        <f t="shared" si="121"/>
        <v>-9.3186409473419189</v>
      </c>
      <c r="V72" s="199">
        <f t="shared" si="121"/>
        <v>-9.3186409473419189</v>
      </c>
      <c r="W72" s="199">
        <f t="shared" si="121"/>
        <v>-9.3186409473419189</v>
      </c>
      <c r="X72" s="199">
        <f t="shared" si="121"/>
        <v>-9.3186409473419189</v>
      </c>
      <c r="Y72" s="199">
        <f t="shared" si="121"/>
        <v>-9.3186409473419189</v>
      </c>
      <c r="Z72" s="199">
        <f t="shared" si="121"/>
        <v>-9.3186409473419189</v>
      </c>
      <c r="AA72" s="199">
        <f t="shared" si="121"/>
        <v>-9.3186409473419189</v>
      </c>
      <c r="AB72" s="199">
        <f t="shared" si="121"/>
        <v>-9.3186409473419189</v>
      </c>
      <c r="AC72" s="199">
        <f t="shared" si="121"/>
        <v>-9.3186409473419189</v>
      </c>
      <c r="AD72" s="199">
        <f t="shared" si="121"/>
        <v>-9.3186409473419189</v>
      </c>
      <c r="AE72" s="199">
        <f t="shared" si="121"/>
        <v>-9.3186409473419189</v>
      </c>
      <c r="AF72" s="199">
        <f t="shared" si="121"/>
        <v>-9.3186409473419189</v>
      </c>
      <c r="AG72" s="199">
        <f t="shared" si="121"/>
        <v>-9.3186409473419189</v>
      </c>
      <c r="AH72" s="199">
        <f t="shared" si="121"/>
        <v>-9.3186409473419189</v>
      </c>
      <c r="AI72" s="199">
        <f t="shared" si="121"/>
        <v>-9.3186409473419189</v>
      </c>
      <c r="AJ72" s="199">
        <f t="shared" si="121"/>
        <v>-9.3186409473419189</v>
      </c>
      <c r="AK72" s="199">
        <f t="shared" si="121"/>
        <v>-9.3186409473419189</v>
      </c>
      <c r="AL72" s="199">
        <f t="shared" si="121"/>
        <v>-9.3186409473419189</v>
      </c>
      <c r="AM72" s="199">
        <f t="shared" si="121"/>
        <v>-9.3186409473419189</v>
      </c>
      <c r="AN72" s="199">
        <f t="shared" si="121"/>
        <v>-9.3186409473419189</v>
      </c>
      <c r="AO72" s="199">
        <f t="shared" si="121"/>
        <v>-9.3186409473419189</v>
      </c>
      <c r="AP72" s="199">
        <f t="shared" si="121"/>
        <v>-9.3186409473419189</v>
      </c>
      <c r="AQ72" s="199">
        <f t="shared" si="121"/>
        <v>-9.3186409473419189</v>
      </c>
      <c r="AR72" s="199">
        <f t="shared" si="121"/>
        <v>-9.3186409473419189</v>
      </c>
      <c r="AS72" s="199">
        <f t="shared" si="121"/>
        <v>-9.3186409473419189</v>
      </c>
      <c r="AT72" s="199">
        <f t="shared" si="121"/>
        <v>-9.3186409473419189</v>
      </c>
      <c r="AU72" s="199">
        <f t="shared" si="121"/>
        <v>-9.3186409473419189</v>
      </c>
      <c r="AV72" s="199">
        <f t="shared" si="121"/>
        <v>-9.3186409473419189</v>
      </c>
      <c r="AW72" s="199">
        <f t="shared" si="121"/>
        <v>-9.3186409473419189</v>
      </c>
      <c r="AX72" s="199">
        <f t="shared" si="121"/>
        <v>-9.3186409473419189</v>
      </c>
      <c r="AY72" s="199">
        <f t="shared" si="121"/>
        <v>-9.3186409473419189</v>
      </c>
      <c r="AZ72" s="199">
        <f t="shared" si="121"/>
        <v>-9.3186409473419189</v>
      </c>
      <c r="BA72" s="199">
        <f t="shared" si="121"/>
        <v>-9.3186409473419189</v>
      </c>
      <c r="BB72" s="199">
        <f t="shared" si="121"/>
        <v>-9.3186409473419189</v>
      </c>
      <c r="BC72" s="199">
        <f t="shared" si="121"/>
        <v>-9.3186409473419189</v>
      </c>
      <c r="BD72" s="199">
        <f t="shared" si="121"/>
        <v>-9.3186409473419189</v>
      </c>
      <c r="BE72" s="199">
        <f t="shared" si="121"/>
        <v>-9.3186409473419189</v>
      </c>
      <c r="BF72" s="199">
        <f t="shared" si="121"/>
        <v>-9.3186409473419189</v>
      </c>
      <c r="BG72" s="199">
        <f t="shared" si="121"/>
        <v>-9.3186409473419189</v>
      </c>
      <c r="BH72" s="199">
        <f t="shared" si="121"/>
        <v>-9.3186409473419189</v>
      </c>
      <c r="BI72" s="199">
        <f t="shared" si="121"/>
        <v>-9.3186409473419189</v>
      </c>
      <c r="BJ72" s="199">
        <f t="shared" si="121"/>
        <v>-9.3186409473419189</v>
      </c>
      <c r="BK72" s="199">
        <f t="shared" si="121"/>
        <v>-9.3186409473419189</v>
      </c>
      <c r="BL72" s="199">
        <f t="shared" si="121"/>
        <v>-9.3186409473419189</v>
      </c>
      <c r="BM72" s="199">
        <f t="shared" si="121"/>
        <v>-9.3186409473419189</v>
      </c>
      <c r="BN72" s="199">
        <f t="shared" si="121"/>
        <v>-9.3186409473419189</v>
      </c>
      <c r="BO72" s="199">
        <f t="shared" si="121"/>
        <v>-9.3186409473419189</v>
      </c>
      <c r="BP72" s="199">
        <f t="shared" si="121"/>
        <v>-9.3186409473419189</v>
      </c>
      <c r="BQ72" s="199">
        <f t="shared" si="121"/>
        <v>-9.3186409473419189</v>
      </c>
      <c r="BR72" s="199">
        <f t="shared" si="121"/>
        <v>-9.3186409473419189</v>
      </c>
      <c r="BS72" s="199">
        <f t="shared" si="121"/>
        <v>-9.3186409473419189</v>
      </c>
      <c r="BT72" s="199">
        <f t="shared" ref="BT72:EE72" si="122">SUM(BT68:BT71)</f>
        <v>-9.3186409473419189</v>
      </c>
      <c r="BU72" s="199">
        <f t="shared" si="122"/>
        <v>-9.3186409473419189</v>
      </c>
      <c r="BV72" s="199">
        <f t="shared" si="122"/>
        <v>-9.3186409473419189</v>
      </c>
      <c r="BW72" s="199">
        <f t="shared" si="122"/>
        <v>-9.3186409473419189</v>
      </c>
      <c r="BX72" s="199">
        <f t="shared" si="122"/>
        <v>-9.3186409473419189</v>
      </c>
      <c r="BY72" s="199">
        <f t="shared" si="122"/>
        <v>-9.3186409473419189</v>
      </c>
      <c r="BZ72" s="199">
        <f t="shared" si="122"/>
        <v>-9.3186409473419189</v>
      </c>
      <c r="CA72" s="199">
        <f t="shared" si="122"/>
        <v>-9.3186409473419189</v>
      </c>
      <c r="CB72" s="199">
        <f t="shared" si="122"/>
        <v>-9.3186409473419189</v>
      </c>
      <c r="CC72" s="199">
        <f t="shared" si="122"/>
        <v>-9.3186409473419189</v>
      </c>
      <c r="CD72" s="199">
        <f t="shared" si="122"/>
        <v>-9.3186409473419189</v>
      </c>
      <c r="CE72" s="199">
        <f t="shared" si="122"/>
        <v>-9.3186409473419189</v>
      </c>
      <c r="CF72" s="199">
        <f t="shared" si="122"/>
        <v>-9.3186409473419189</v>
      </c>
      <c r="CG72" s="199">
        <f t="shared" si="122"/>
        <v>-9.3186409473419189</v>
      </c>
      <c r="CH72" s="199">
        <f t="shared" si="122"/>
        <v>-9.3186409473419189</v>
      </c>
      <c r="CI72" s="199">
        <f t="shared" si="122"/>
        <v>-9.3186409473419189</v>
      </c>
      <c r="CJ72" s="199">
        <f t="shared" si="122"/>
        <v>-9.3186409473419189</v>
      </c>
      <c r="CK72" s="199">
        <f t="shared" si="122"/>
        <v>-9.3186409473419189</v>
      </c>
      <c r="CL72" s="199">
        <f t="shared" si="122"/>
        <v>-9.3186409473419189</v>
      </c>
      <c r="CM72" s="199">
        <f t="shared" si="122"/>
        <v>-9.3186409473419189</v>
      </c>
      <c r="CN72" s="199">
        <f t="shared" si="122"/>
        <v>-9.3186409473419189</v>
      </c>
      <c r="CO72" s="199">
        <f t="shared" si="122"/>
        <v>-9.3186409473419189</v>
      </c>
      <c r="CP72" s="199">
        <f t="shared" si="122"/>
        <v>-9.3186409473419189</v>
      </c>
      <c r="CQ72" s="199">
        <f t="shared" si="122"/>
        <v>-9.3186409473419189</v>
      </c>
      <c r="CR72" s="199">
        <f t="shared" si="122"/>
        <v>-9.3186409473419189</v>
      </c>
      <c r="CS72" s="199">
        <f t="shared" si="122"/>
        <v>-9.3186409473419189</v>
      </c>
      <c r="CT72" s="199">
        <f t="shared" si="122"/>
        <v>-9.3186409473419189</v>
      </c>
      <c r="CU72" s="199">
        <f t="shared" si="122"/>
        <v>-9.3186409473419189</v>
      </c>
      <c r="CV72" s="199">
        <f t="shared" si="122"/>
        <v>-9.3186409473419189</v>
      </c>
      <c r="CW72" s="199">
        <f t="shared" si="122"/>
        <v>-9.3186409473419189</v>
      </c>
      <c r="CX72" s="199">
        <f t="shared" si="122"/>
        <v>-9.3186409473419189</v>
      </c>
      <c r="CY72" s="199">
        <f t="shared" si="122"/>
        <v>-9.3186409473419189</v>
      </c>
      <c r="CZ72" s="199">
        <f t="shared" si="122"/>
        <v>-9.3186409473419189</v>
      </c>
      <c r="DA72" s="199">
        <f t="shared" si="122"/>
        <v>-9.3186409473419189</v>
      </c>
      <c r="DB72" s="199">
        <f t="shared" si="122"/>
        <v>-9.3186409473419189</v>
      </c>
      <c r="DC72" s="199">
        <f t="shared" si="122"/>
        <v>-9.3186409473419189</v>
      </c>
      <c r="DD72" s="199">
        <f t="shared" si="122"/>
        <v>-9.3186409473419189</v>
      </c>
      <c r="DE72" s="199">
        <f t="shared" si="122"/>
        <v>-9.3186409473419189</v>
      </c>
      <c r="DF72" s="199">
        <f t="shared" si="122"/>
        <v>-9.3186409473419189</v>
      </c>
      <c r="DG72" s="199">
        <f t="shared" si="122"/>
        <v>-9.3186409473419189</v>
      </c>
      <c r="DH72" s="199">
        <f t="shared" si="122"/>
        <v>-9.3186409473419189</v>
      </c>
      <c r="DI72" s="199">
        <f t="shared" si="122"/>
        <v>-9.3186409473419189</v>
      </c>
      <c r="DJ72" s="199">
        <f t="shared" si="122"/>
        <v>-9.3186409473419189</v>
      </c>
      <c r="DK72" s="199">
        <f t="shared" si="122"/>
        <v>-9.3186409473419189</v>
      </c>
      <c r="DL72" s="199">
        <f t="shared" si="122"/>
        <v>-9.3186409473419189</v>
      </c>
      <c r="DM72" s="199">
        <f t="shared" si="122"/>
        <v>-9.3186409473419189</v>
      </c>
      <c r="DN72" s="199">
        <f t="shared" si="122"/>
        <v>-9.3186409473419189</v>
      </c>
      <c r="DO72" s="199">
        <f t="shared" si="122"/>
        <v>-9.3186409473419189</v>
      </c>
      <c r="DP72" s="199">
        <f t="shared" si="122"/>
        <v>-9.3186409473419189</v>
      </c>
      <c r="DQ72" s="199">
        <f t="shared" si="122"/>
        <v>-9.3186409473419189</v>
      </c>
      <c r="DR72" s="199">
        <f t="shared" si="122"/>
        <v>-9.3186409473419189</v>
      </c>
      <c r="DS72" s="199">
        <f t="shared" si="122"/>
        <v>-9.3186409473419189</v>
      </c>
      <c r="DT72" s="199">
        <f t="shared" si="122"/>
        <v>-9.3186409473419189</v>
      </c>
      <c r="DU72" s="199">
        <f t="shared" si="122"/>
        <v>-9.3186409473419189</v>
      </c>
      <c r="DV72" s="199">
        <f t="shared" si="122"/>
        <v>-9.3186409473419189</v>
      </c>
      <c r="DW72" s="199">
        <f t="shared" si="122"/>
        <v>-9.3186409473419189</v>
      </c>
      <c r="DX72" s="199">
        <f t="shared" si="122"/>
        <v>-9.3186409473419189</v>
      </c>
      <c r="DY72" s="199">
        <f t="shared" si="122"/>
        <v>-9.3186409473419189</v>
      </c>
      <c r="DZ72" s="199">
        <f t="shared" si="122"/>
        <v>-9.3186409473419189</v>
      </c>
      <c r="EA72" s="199">
        <f t="shared" si="122"/>
        <v>-9.3186409473419189</v>
      </c>
      <c r="EB72" s="199">
        <f t="shared" si="122"/>
        <v>-9.3186409473419189</v>
      </c>
      <c r="EC72" s="199">
        <f t="shared" si="122"/>
        <v>-9.3186409473419189</v>
      </c>
      <c r="ED72" s="199">
        <f t="shared" si="122"/>
        <v>-9.3186409473419189</v>
      </c>
      <c r="EE72" s="199">
        <f t="shared" si="122"/>
        <v>-9.3186409473419189</v>
      </c>
      <c r="EF72" s="199">
        <f t="shared" ref="EF72:ET72" si="123">SUM(EF68:EF71)</f>
        <v>-9.3186409473419189</v>
      </c>
      <c r="EG72" s="199">
        <f t="shared" si="123"/>
        <v>-9.3186409473419189</v>
      </c>
      <c r="EH72" s="199">
        <f t="shared" si="123"/>
        <v>-9.3186409473419189</v>
      </c>
      <c r="EI72" s="199">
        <f t="shared" si="123"/>
        <v>-9.3186409473419189</v>
      </c>
      <c r="EJ72" s="199">
        <f t="shared" si="123"/>
        <v>-9.3186409473419189</v>
      </c>
      <c r="EK72" s="199">
        <f t="shared" si="123"/>
        <v>-9.3186409473419189</v>
      </c>
      <c r="EL72" s="199">
        <f t="shared" si="123"/>
        <v>-9.3186409473419189</v>
      </c>
      <c r="EM72" s="199">
        <f t="shared" si="123"/>
        <v>-9.3186409473419189</v>
      </c>
      <c r="EN72" s="199">
        <f t="shared" si="123"/>
        <v>-9.3186409473419189</v>
      </c>
      <c r="EO72" s="199">
        <f t="shared" si="123"/>
        <v>-9.3186409473419189</v>
      </c>
      <c r="EP72" s="199">
        <f t="shared" si="123"/>
        <v>-9.3186409473419189</v>
      </c>
      <c r="EQ72" s="199">
        <f t="shared" si="123"/>
        <v>-9.3186409473419189</v>
      </c>
      <c r="ER72" s="199">
        <f t="shared" si="123"/>
        <v>-9.3186409473419189</v>
      </c>
      <c r="ES72" s="199">
        <f t="shared" si="123"/>
        <v>-9.3186409473419189</v>
      </c>
      <c r="ET72" s="199">
        <f t="shared" si="123"/>
        <v>-9.3186409473419189</v>
      </c>
      <c r="EV72" s="190" t="s">
        <v>82</v>
      </c>
    </row>
    <row r="73" spans="5:152" ht="15" customHeight="1" outlineLevel="1" x14ac:dyDescent="0.3">
      <c r="E73" t="s">
        <v>100</v>
      </c>
      <c r="G73" s="199">
        <v>0</v>
      </c>
      <c r="H73" s="199">
        <f t="shared" ref="H73:BS73" si="124">IF(MIN(-H72,H29*$H$5)&lt;0,0,MIN(-H72,H29*$H$5))</f>
        <v>0</v>
      </c>
      <c r="I73" s="199">
        <f t="shared" si="124"/>
        <v>0</v>
      </c>
      <c r="J73" s="199">
        <f t="shared" si="124"/>
        <v>0</v>
      </c>
      <c r="K73" s="199">
        <f t="shared" si="124"/>
        <v>0</v>
      </c>
      <c r="L73" s="199">
        <f t="shared" si="124"/>
        <v>0</v>
      </c>
      <c r="M73" s="199">
        <f t="shared" si="124"/>
        <v>0</v>
      </c>
      <c r="N73" s="199">
        <f t="shared" si="124"/>
        <v>0</v>
      </c>
      <c r="O73" s="199">
        <f t="shared" si="124"/>
        <v>0</v>
      </c>
      <c r="P73" s="199">
        <f t="shared" si="124"/>
        <v>0</v>
      </c>
      <c r="Q73" s="199">
        <f t="shared" si="124"/>
        <v>0</v>
      </c>
      <c r="R73" s="199">
        <f t="shared" si="124"/>
        <v>0</v>
      </c>
      <c r="S73" s="199">
        <f t="shared" si="124"/>
        <v>0</v>
      </c>
      <c r="T73" s="199">
        <f t="shared" si="124"/>
        <v>0</v>
      </c>
      <c r="U73" s="199">
        <f t="shared" si="124"/>
        <v>0</v>
      </c>
      <c r="V73" s="199">
        <f t="shared" si="124"/>
        <v>0</v>
      </c>
      <c r="W73" s="199">
        <f t="shared" si="124"/>
        <v>0</v>
      </c>
      <c r="X73" s="199">
        <f t="shared" si="124"/>
        <v>0</v>
      </c>
      <c r="Y73" s="199">
        <f t="shared" si="124"/>
        <v>0</v>
      </c>
      <c r="Z73" s="199">
        <f t="shared" si="124"/>
        <v>0</v>
      </c>
      <c r="AA73" s="199">
        <f t="shared" si="124"/>
        <v>0</v>
      </c>
      <c r="AB73" s="199">
        <f t="shared" si="124"/>
        <v>0</v>
      </c>
      <c r="AC73" s="199">
        <f t="shared" si="124"/>
        <v>0</v>
      </c>
      <c r="AD73" s="199">
        <f t="shared" si="124"/>
        <v>0</v>
      </c>
      <c r="AE73" s="199">
        <f t="shared" si="124"/>
        <v>0</v>
      </c>
      <c r="AF73" s="199">
        <f t="shared" si="124"/>
        <v>0</v>
      </c>
      <c r="AG73" s="199">
        <f t="shared" si="124"/>
        <v>0</v>
      </c>
      <c r="AH73" s="199">
        <f t="shared" si="124"/>
        <v>0</v>
      </c>
      <c r="AI73" s="199">
        <f t="shared" si="124"/>
        <v>0</v>
      </c>
      <c r="AJ73" s="199">
        <f t="shared" si="124"/>
        <v>0</v>
      </c>
      <c r="AK73" s="199">
        <f t="shared" si="124"/>
        <v>0</v>
      </c>
      <c r="AL73" s="199">
        <f t="shared" si="124"/>
        <v>0</v>
      </c>
      <c r="AM73" s="199">
        <f t="shared" si="124"/>
        <v>0</v>
      </c>
      <c r="AN73" s="199">
        <f t="shared" si="124"/>
        <v>0</v>
      </c>
      <c r="AO73" s="199">
        <f t="shared" si="124"/>
        <v>0</v>
      </c>
      <c r="AP73" s="199">
        <f t="shared" si="124"/>
        <v>0</v>
      </c>
      <c r="AQ73" s="199">
        <f t="shared" si="124"/>
        <v>0</v>
      </c>
      <c r="AR73" s="199">
        <f t="shared" si="124"/>
        <v>0</v>
      </c>
      <c r="AS73" s="199">
        <f t="shared" si="124"/>
        <v>0</v>
      </c>
      <c r="AT73" s="199">
        <f t="shared" si="124"/>
        <v>0</v>
      </c>
      <c r="AU73" s="199">
        <f t="shared" si="124"/>
        <v>0</v>
      </c>
      <c r="AV73" s="199">
        <f t="shared" si="124"/>
        <v>0</v>
      </c>
      <c r="AW73" s="199">
        <f t="shared" si="124"/>
        <v>0</v>
      </c>
      <c r="AX73" s="199">
        <f t="shared" si="124"/>
        <v>0</v>
      </c>
      <c r="AY73" s="199">
        <f t="shared" si="124"/>
        <v>0</v>
      </c>
      <c r="AZ73" s="199">
        <f t="shared" si="124"/>
        <v>0</v>
      </c>
      <c r="BA73" s="199">
        <f t="shared" si="124"/>
        <v>0</v>
      </c>
      <c r="BB73" s="199">
        <f t="shared" si="124"/>
        <v>0</v>
      </c>
      <c r="BC73" s="199">
        <f t="shared" si="124"/>
        <v>0</v>
      </c>
      <c r="BD73" s="199">
        <f t="shared" si="124"/>
        <v>0</v>
      </c>
      <c r="BE73" s="199">
        <f t="shared" si="124"/>
        <v>0</v>
      </c>
      <c r="BF73" s="199">
        <f t="shared" si="124"/>
        <v>0</v>
      </c>
      <c r="BG73" s="199">
        <f t="shared" si="124"/>
        <v>0</v>
      </c>
      <c r="BH73" s="199">
        <f t="shared" si="124"/>
        <v>0</v>
      </c>
      <c r="BI73" s="199">
        <f t="shared" si="124"/>
        <v>0</v>
      </c>
      <c r="BJ73" s="199">
        <f t="shared" si="124"/>
        <v>0</v>
      </c>
      <c r="BK73" s="199">
        <f t="shared" si="124"/>
        <v>0</v>
      </c>
      <c r="BL73" s="199">
        <f t="shared" si="124"/>
        <v>0</v>
      </c>
      <c r="BM73" s="199">
        <f t="shared" si="124"/>
        <v>0</v>
      </c>
      <c r="BN73" s="199">
        <f t="shared" si="124"/>
        <v>0</v>
      </c>
      <c r="BO73" s="199">
        <f t="shared" si="124"/>
        <v>0</v>
      </c>
      <c r="BP73" s="199">
        <f t="shared" si="124"/>
        <v>0</v>
      </c>
      <c r="BQ73" s="199">
        <f t="shared" si="124"/>
        <v>0</v>
      </c>
      <c r="BR73" s="199">
        <f t="shared" si="124"/>
        <v>0</v>
      </c>
      <c r="BS73" s="199">
        <f t="shared" si="124"/>
        <v>0</v>
      </c>
      <c r="BT73" s="199">
        <f t="shared" ref="BT73:EE73" si="125">IF(MIN(-BT72,BT29*$H$5)&lt;0,0,MIN(-BT72,BT29*$H$5))</f>
        <v>0</v>
      </c>
      <c r="BU73" s="199">
        <f t="shared" si="125"/>
        <v>0</v>
      </c>
      <c r="BV73" s="199">
        <f t="shared" si="125"/>
        <v>0</v>
      </c>
      <c r="BW73" s="199">
        <f t="shared" si="125"/>
        <v>0</v>
      </c>
      <c r="BX73" s="199">
        <f t="shared" si="125"/>
        <v>0</v>
      </c>
      <c r="BY73" s="199">
        <f t="shared" si="125"/>
        <v>0</v>
      </c>
      <c r="BZ73" s="199">
        <f t="shared" si="125"/>
        <v>0</v>
      </c>
      <c r="CA73" s="199">
        <f t="shared" si="125"/>
        <v>0</v>
      </c>
      <c r="CB73" s="199">
        <f t="shared" si="125"/>
        <v>0</v>
      </c>
      <c r="CC73" s="199">
        <f t="shared" si="125"/>
        <v>0</v>
      </c>
      <c r="CD73" s="199">
        <f t="shared" si="125"/>
        <v>0</v>
      </c>
      <c r="CE73" s="199">
        <f t="shared" si="125"/>
        <v>0</v>
      </c>
      <c r="CF73" s="199">
        <f t="shared" si="125"/>
        <v>0</v>
      </c>
      <c r="CG73" s="199">
        <f t="shared" si="125"/>
        <v>0</v>
      </c>
      <c r="CH73" s="199">
        <f t="shared" si="125"/>
        <v>0</v>
      </c>
      <c r="CI73" s="199">
        <f t="shared" si="125"/>
        <v>0</v>
      </c>
      <c r="CJ73" s="199">
        <f t="shared" si="125"/>
        <v>0</v>
      </c>
      <c r="CK73" s="199">
        <f t="shared" si="125"/>
        <v>0</v>
      </c>
      <c r="CL73" s="199">
        <f t="shared" si="125"/>
        <v>0</v>
      </c>
      <c r="CM73" s="199">
        <f t="shared" si="125"/>
        <v>0</v>
      </c>
      <c r="CN73" s="199">
        <f t="shared" si="125"/>
        <v>0</v>
      </c>
      <c r="CO73" s="199">
        <f t="shared" si="125"/>
        <v>0</v>
      </c>
      <c r="CP73" s="199">
        <f t="shared" si="125"/>
        <v>0</v>
      </c>
      <c r="CQ73" s="199">
        <f t="shared" si="125"/>
        <v>0</v>
      </c>
      <c r="CR73" s="199">
        <f t="shared" si="125"/>
        <v>0</v>
      </c>
      <c r="CS73" s="199">
        <f t="shared" si="125"/>
        <v>0</v>
      </c>
      <c r="CT73" s="199">
        <f t="shared" si="125"/>
        <v>0</v>
      </c>
      <c r="CU73" s="199">
        <f t="shared" si="125"/>
        <v>0</v>
      </c>
      <c r="CV73" s="199">
        <f t="shared" si="125"/>
        <v>0</v>
      </c>
      <c r="CW73" s="199">
        <f t="shared" si="125"/>
        <v>0</v>
      </c>
      <c r="CX73" s="199">
        <f t="shared" si="125"/>
        <v>0</v>
      </c>
      <c r="CY73" s="199">
        <f t="shared" si="125"/>
        <v>0</v>
      </c>
      <c r="CZ73" s="199">
        <f t="shared" si="125"/>
        <v>0</v>
      </c>
      <c r="DA73" s="199">
        <f t="shared" si="125"/>
        <v>0</v>
      </c>
      <c r="DB73" s="199">
        <f t="shared" si="125"/>
        <v>0</v>
      </c>
      <c r="DC73" s="199">
        <f t="shared" si="125"/>
        <v>0</v>
      </c>
      <c r="DD73" s="199">
        <f t="shared" si="125"/>
        <v>0</v>
      </c>
      <c r="DE73" s="199">
        <f t="shared" si="125"/>
        <v>0</v>
      </c>
      <c r="DF73" s="199">
        <f t="shared" si="125"/>
        <v>0</v>
      </c>
      <c r="DG73" s="199">
        <f t="shared" si="125"/>
        <v>0</v>
      </c>
      <c r="DH73" s="199">
        <f t="shared" si="125"/>
        <v>0</v>
      </c>
      <c r="DI73" s="199">
        <f t="shared" si="125"/>
        <v>0</v>
      </c>
      <c r="DJ73" s="199">
        <f t="shared" si="125"/>
        <v>0</v>
      </c>
      <c r="DK73" s="199">
        <f t="shared" si="125"/>
        <v>0</v>
      </c>
      <c r="DL73" s="199">
        <f t="shared" si="125"/>
        <v>0</v>
      </c>
      <c r="DM73" s="199">
        <f t="shared" si="125"/>
        <v>0</v>
      </c>
      <c r="DN73" s="199">
        <f t="shared" si="125"/>
        <v>0</v>
      </c>
      <c r="DO73" s="199">
        <f t="shared" si="125"/>
        <v>0</v>
      </c>
      <c r="DP73" s="199">
        <f t="shared" si="125"/>
        <v>0</v>
      </c>
      <c r="DQ73" s="199">
        <f t="shared" si="125"/>
        <v>0</v>
      </c>
      <c r="DR73" s="199">
        <f t="shared" si="125"/>
        <v>0</v>
      </c>
      <c r="DS73" s="199">
        <f t="shared" si="125"/>
        <v>0</v>
      </c>
      <c r="DT73" s="199">
        <f t="shared" si="125"/>
        <v>0</v>
      </c>
      <c r="DU73" s="199">
        <f t="shared" si="125"/>
        <v>0</v>
      </c>
      <c r="DV73" s="199">
        <f t="shared" si="125"/>
        <v>0</v>
      </c>
      <c r="DW73" s="199">
        <f t="shared" si="125"/>
        <v>0</v>
      </c>
      <c r="DX73" s="199">
        <f t="shared" si="125"/>
        <v>0</v>
      </c>
      <c r="DY73" s="199">
        <f t="shared" si="125"/>
        <v>0</v>
      </c>
      <c r="DZ73" s="199">
        <f t="shared" si="125"/>
        <v>0</v>
      </c>
      <c r="EA73" s="199">
        <f t="shared" si="125"/>
        <v>0</v>
      </c>
      <c r="EB73" s="199">
        <f t="shared" si="125"/>
        <v>0</v>
      </c>
      <c r="EC73" s="199">
        <f t="shared" si="125"/>
        <v>0</v>
      </c>
      <c r="ED73" s="199">
        <f t="shared" si="125"/>
        <v>0</v>
      </c>
      <c r="EE73" s="199">
        <f t="shared" si="125"/>
        <v>0</v>
      </c>
      <c r="EF73" s="199">
        <f t="shared" ref="EF73:ET73" si="126">IF(MIN(-EF72,EF29*$H$5)&lt;0,0,MIN(-EF72,EF29*$H$5))</f>
        <v>0</v>
      </c>
      <c r="EG73" s="199">
        <f t="shared" si="126"/>
        <v>0</v>
      </c>
      <c r="EH73" s="199">
        <f t="shared" si="126"/>
        <v>0</v>
      </c>
      <c r="EI73" s="199">
        <f t="shared" si="126"/>
        <v>0</v>
      </c>
      <c r="EJ73" s="199">
        <f t="shared" si="126"/>
        <v>0</v>
      </c>
      <c r="EK73" s="199">
        <f t="shared" si="126"/>
        <v>0</v>
      </c>
      <c r="EL73" s="199">
        <f t="shared" si="126"/>
        <v>0</v>
      </c>
      <c r="EM73" s="199">
        <f t="shared" si="126"/>
        <v>0</v>
      </c>
      <c r="EN73" s="199">
        <f t="shared" si="126"/>
        <v>0</v>
      </c>
      <c r="EO73" s="199">
        <f t="shared" si="126"/>
        <v>0</v>
      </c>
      <c r="EP73" s="199">
        <f t="shared" si="126"/>
        <v>0</v>
      </c>
      <c r="EQ73" s="199">
        <f t="shared" si="126"/>
        <v>0</v>
      </c>
      <c r="ER73" s="199">
        <f t="shared" si="126"/>
        <v>0</v>
      </c>
      <c r="ES73" s="199">
        <f t="shared" si="126"/>
        <v>0</v>
      </c>
      <c r="ET73" s="199">
        <f t="shared" si="126"/>
        <v>0</v>
      </c>
      <c r="EV73" s="190" t="s">
        <v>82</v>
      </c>
    </row>
    <row r="74" spans="5:152" ht="15" customHeight="1" outlineLevel="1" x14ac:dyDescent="0.3">
      <c r="E74" t="s">
        <v>98</v>
      </c>
      <c r="G74" s="199">
        <f t="shared" ref="G74:N74" si="127">+SUM(G72:G73)</f>
        <v>-1016124675.9072572</v>
      </c>
      <c r="H74" s="199">
        <f t="shared" si="127"/>
        <v>-1128821183.6068685</v>
      </c>
      <c r="I74" s="199">
        <f t="shared" si="127"/>
        <v>-1235735699.1114233</v>
      </c>
      <c r="J74" s="199">
        <f t="shared" si="127"/>
        <v>-1340158010.8836627</v>
      </c>
      <c r="K74" s="199">
        <f t="shared" si="127"/>
        <v>-1454920175.19138</v>
      </c>
      <c r="L74" s="199">
        <f t="shared" si="127"/>
        <v>-1582692650.4790049</v>
      </c>
      <c r="M74" s="199">
        <f t="shared" si="127"/>
        <v>-1808430769.2861006</v>
      </c>
      <c r="N74" s="199">
        <f t="shared" si="127"/>
        <v>-1989818845.8674624</v>
      </c>
      <c r="O74" s="199">
        <f t="shared" ref="O74:P74" si="128">+SUM(O72:O73)</f>
        <v>-2195481468.4282932</v>
      </c>
      <c r="P74" s="199">
        <f t="shared" si="128"/>
        <v>-2429383379.8561211</v>
      </c>
      <c r="Q74" s="199">
        <f t="shared" ref="Q74:CB74" si="129">+SUM(Q72:Q73)</f>
        <v>-1283858697.8292491</v>
      </c>
      <c r="R74" s="199">
        <f t="shared" si="129"/>
        <v>-1476437502.5036552</v>
      </c>
      <c r="S74" s="199">
        <f t="shared" si="129"/>
        <v>-9.3186409473419189</v>
      </c>
      <c r="T74" s="199">
        <f t="shared" si="129"/>
        <v>-9.3186409473419189</v>
      </c>
      <c r="U74" s="199">
        <f t="shared" si="129"/>
        <v>-9.3186409473419189</v>
      </c>
      <c r="V74" s="199">
        <f t="shared" si="129"/>
        <v>-9.3186409473419189</v>
      </c>
      <c r="W74" s="199">
        <f t="shared" si="129"/>
        <v>-9.3186409473419189</v>
      </c>
      <c r="X74" s="199">
        <f t="shared" si="129"/>
        <v>-9.3186409473419189</v>
      </c>
      <c r="Y74" s="199">
        <f t="shared" si="129"/>
        <v>-9.3186409473419189</v>
      </c>
      <c r="Z74" s="199">
        <f t="shared" si="129"/>
        <v>-9.3186409473419189</v>
      </c>
      <c r="AA74" s="199">
        <f t="shared" si="129"/>
        <v>-9.3186409473419189</v>
      </c>
      <c r="AB74" s="199">
        <f t="shared" si="129"/>
        <v>-9.3186409473419189</v>
      </c>
      <c r="AC74" s="199">
        <f t="shared" si="129"/>
        <v>-9.3186409473419189</v>
      </c>
      <c r="AD74" s="199">
        <f t="shared" si="129"/>
        <v>-9.3186409473419189</v>
      </c>
      <c r="AE74" s="199">
        <f t="shared" si="129"/>
        <v>-9.3186409473419189</v>
      </c>
      <c r="AF74" s="199">
        <f t="shared" si="129"/>
        <v>-9.3186409473419189</v>
      </c>
      <c r="AG74" s="199">
        <f t="shared" si="129"/>
        <v>-9.3186409473419189</v>
      </c>
      <c r="AH74" s="199">
        <f t="shared" si="129"/>
        <v>-9.3186409473419189</v>
      </c>
      <c r="AI74" s="199">
        <f t="shared" si="129"/>
        <v>-9.3186409473419189</v>
      </c>
      <c r="AJ74" s="199">
        <f t="shared" si="129"/>
        <v>-9.3186409473419189</v>
      </c>
      <c r="AK74" s="199">
        <f t="shared" si="129"/>
        <v>-9.3186409473419189</v>
      </c>
      <c r="AL74" s="199">
        <f t="shared" si="129"/>
        <v>-9.3186409473419189</v>
      </c>
      <c r="AM74" s="199">
        <f t="shared" si="129"/>
        <v>-9.3186409473419189</v>
      </c>
      <c r="AN74" s="199">
        <f t="shared" si="129"/>
        <v>-9.3186409473419189</v>
      </c>
      <c r="AO74" s="199">
        <f t="shared" si="129"/>
        <v>-9.3186409473419189</v>
      </c>
      <c r="AP74" s="199">
        <f t="shared" si="129"/>
        <v>-9.3186409473419189</v>
      </c>
      <c r="AQ74" s="199">
        <f t="shared" si="129"/>
        <v>-9.3186409473419189</v>
      </c>
      <c r="AR74" s="199">
        <f t="shared" si="129"/>
        <v>-9.3186409473419189</v>
      </c>
      <c r="AS74" s="199">
        <f t="shared" si="129"/>
        <v>-9.3186409473419189</v>
      </c>
      <c r="AT74" s="199">
        <f t="shared" si="129"/>
        <v>-9.3186409473419189</v>
      </c>
      <c r="AU74" s="199">
        <f t="shared" si="129"/>
        <v>-9.3186409473419189</v>
      </c>
      <c r="AV74" s="199">
        <f t="shared" si="129"/>
        <v>-9.3186409473419189</v>
      </c>
      <c r="AW74" s="199">
        <f t="shared" si="129"/>
        <v>-9.3186409473419189</v>
      </c>
      <c r="AX74" s="199">
        <f t="shared" si="129"/>
        <v>-9.3186409473419189</v>
      </c>
      <c r="AY74" s="199">
        <f t="shared" si="129"/>
        <v>-9.3186409473419189</v>
      </c>
      <c r="AZ74" s="199">
        <f t="shared" si="129"/>
        <v>-9.3186409473419189</v>
      </c>
      <c r="BA74" s="199">
        <f t="shared" si="129"/>
        <v>-9.3186409473419189</v>
      </c>
      <c r="BB74" s="199">
        <f t="shared" si="129"/>
        <v>-9.3186409473419189</v>
      </c>
      <c r="BC74" s="199">
        <f t="shared" si="129"/>
        <v>-9.3186409473419189</v>
      </c>
      <c r="BD74" s="199">
        <f t="shared" si="129"/>
        <v>-9.3186409473419189</v>
      </c>
      <c r="BE74" s="199">
        <f t="shared" si="129"/>
        <v>-9.3186409473419189</v>
      </c>
      <c r="BF74" s="199">
        <f t="shared" si="129"/>
        <v>-9.3186409473419189</v>
      </c>
      <c r="BG74" s="199">
        <f t="shared" si="129"/>
        <v>-9.3186409473419189</v>
      </c>
      <c r="BH74" s="199">
        <f t="shared" si="129"/>
        <v>-9.3186409473419189</v>
      </c>
      <c r="BI74" s="199">
        <f t="shared" si="129"/>
        <v>-9.3186409473419189</v>
      </c>
      <c r="BJ74" s="199">
        <f t="shared" si="129"/>
        <v>-9.3186409473419189</v>
      </c>
      <c r="BK74" s="199">
        <f t="shared" si="129"/>
        <v>-9.3186409473419189</v>
      </c>
      <c r="BL74" s="199">
        <f t="shared" si="129"/>
        <v>-9.3186409473419189</v>
      </c>
      <c r="BM74" s="199">
        <f t="shared" si="129"/>
        <v>-9.3186409473419189</v>
      </c>
      <c r="BN74" s="199">
        <f t="shared" si="129"/>
        <v>-9.3186409473419189</v>
      </c>
      <c r="BO74" s="199">
        <f t="shared" si="129"/>
        <v>-9.3186409473419189</v>
      </c>
      <c r="BP74" s="199">
        <f t="shared" si="129"/>
        <v>-9.3186409473419189</v>
      </c>
      <c r="BQ74" s="199">
        <f t="shared" si="129"/>
        <v>-9.3186409473419189</v>
      </c>
      <c r="BR74" s="199">
        <f t="shared" si="129"/>
        <v>-9.3186409473419189</v>
      </c>
      <c r="BS74" s="199">
        <f t="shared" si="129"/>
        <v>-9.3186409473419189</v>
      </c>
      <c r="BT74" s="199">
        <f t="shared" si="129"/>
        <v>-9.3186409473419189</v>
      </c>
      <c r="BU74" s="199">
        <f t="shared" si="129"/>
        <v>-9.3186409473419189</v>
      </c>
      <c r="BV74" s="199">
        <f t="shared" si="129"/>
        <v>-9.3186409473419189</v>
      </c>
      <c r="BW74" s="199">
        <f t="shared" si="129"/>
        <v>-9.3186409473419189</v>
      </c>
      <c r="BX74" s="199">
        <f t="shared" si="129"/>
        <v>-9.3186409473419189</v>
      </c>
      <c r="BY74" s="199">
        <f t="shared" si="129"/>
        <v>-9.3186409473419189</v>
      </c>
      <c r="BZ74" s="199">
        <f t="shared" si="129"/>
        <v>-9.3186409473419189</v>
      </c>
      <c r="CA74" s="199">
        <f t="shared" si="129"/>
        <v>-9.3186409473419189</v>
      </c>
      <c r="CB74" s="199">
        <f t="shared" si="129"/>
        <v>-9.3186409473419189</v>
      </c>
      <c r="CC74" s="199">
        <f t="shared" ref="CC74:EN74" si="130">+SUM(CC72:CC73)</f>
        <v>-9.3186409473419189</v>
      </c>
      <c r="CD74" s="199">
        <f t="shared" si="130"/>
        <v>-9.3186409473419189</v>
      </c>
      <c r="CE74" s="199">
        <f t="shared" si="130"/>
        <v>-9.3186409473419189</v>
      </c>
      <c r="CF74" s="199">
        <f t="shared" si="130"/>
        <v>-9.3186409473419189</v>
      </c>
      <c r="CG74" s="199">
        <f t="shared" si="130"/>
        <v>-9.3186409473419189</v>
      </c>
      <c r="CH74" s="199">
        <f t="shared" si="130"/>
        <v>-9.3186409473419189</v>
      </c>
      <c r="CI74" s="199">
        <f t="shared" si="130"/>
        <v>-9.3186409473419189</v>
      </c>
      <c r="CJ74" s="199">
        <f t="shared" si="130"/>
        <v>-9.3186409473419189</v>
      </c>
      <c r="CK74" s="199">
        <f t="shared" si="130"/>
        <v>-9.3186409473419189</v>
      </c>
      <c r="CL74" s="199">
        <f t="shared" si="130"/>
        <v>-9.3186409473419189</v>
      </c>
      <c r="CM74" s="199">
        <f t="shared" si="130"/>
        <v>-9.3186409473419189</v>
      </c>
      <c r="CN74" s="199">
        <f t="shared" si="130"/>
        <v>-9.3186409473419189</v>
      </c>
      <c r="CO74" s="199">
        <f t="shared" si="130"/>
        <v>-9.3186409473419189</v>
      </c>
      <c r="CP74" s="199">
        <f t="shared" si="130"/>
        <v>-9.3186409473419189</v>
      </c>
      <c r="CQ74" s="199">
        <f t="shared" si="130"/>
        <v>-9.3186409473419189</v>
      </c>
      <c r="CR74" s="199">
        <f t="shared" si="130"/>
        <v>-9.3186409473419189</v>
      </c>
      <c r="CS74" s="199">
        <f t="shared" si="130"/>
        <v>-9.3186409473419189</v>
      </c>
      <c r="CT74" s="199">
        <f t="shared" si="130"/>
        <v>-9.3186409473419189</v>
      </c>
      <c r="CU74" s="199">
        <f t="shared" si="130"/>
        <v>-9.3186409473419189</v>
      </c>
      <c r="CV74" s="199">
        <f t="shared" si="130"/>
        <v>-9.3186409473419189</v>
      </c>
      <c r="CW74" s="199">
        <f t="shared" si="130"/>
        <v>-9.3186409473419189</v>
      </c>
      <c r="CX74" s="199">
        <f t="shared" si="130"/>
        <v>-9.3186409473419189</v>
      </c>
      <c r="CY74" s="199">
        <f t="shared" si="130"/>
        <v>-9.3186409473419189</v>
      </c>
      <c r="CZ74" s="199">
        <f t="shared" si="130"/>
        <v>-9.3186409473419189</v>
      </c>
      <c r="DA74" s="199">
        <f t="shared" si="130"/>
        <v>-9.3186409473419189</v>
      </c>
      <c r="DB74" s="199">
        <f t="shared" si="130"/>
        <v>-9.3186409473419189</v>
      </c>
      <c r="DC74" s="199">
        <f t="shared" si="130"/>
        <v>-9.3186409473419189</v>
      </c>
      <c r="DD74" s="199">
        <f t="shared" si="130"/>
        <v>-9.3186409473419189</v>
      </c>
      <c r="DE74" s="199">
        <f t="shared" si="130"/>
        <v>-9.3186409473419189</v>
      </c>
      <c r="DF74" s="199">
        <f t="shared" si="130"/>
        <v>-9.3186409473419189</v>
      </c>
      <c r="DG74" s="199">
        <f t="shared" si="130"/>
        <v>-9.3186409473419189</v>
      </c>
      <c r="DH74" s="199">
        <f t="shared" si="130"/>
        <v>-9.3186409473419189</v>
      </c>
      <c r="DI74" s="199">
        <f t="shared" si="130"/>
        <v>-9.3186409473419189</v>
      </c>
      <c r="DJ74" s="199">
        <f t="shared" si="130"/>
        <v>-9.3186409473419189</v>
      </c>
      <c r="DK74" s="199">
        <f t="shared" si="130"/>
        <v>-9.3186409473419189</v>
      </c>
      <c r="DL74" s="199">
        <f t="shared" si="130"/>
        <v>-9.3186409473419189</v>
      </c>
      <c r="DM74" s="199">
        <f t="shared" si="130"/>
        <v>-9.3186409473419189</v>
      </c>
      <c r="DN74" s="199">
        <f t="shared" si="130"/>
        <v>-9.3186409473419189</v>
      </c>
      <c r="DO74" s="199">
        <f t="shared" si="130"/>
        <v>-9.3186409473419189</v>
      </c>
      <c r="DP74" s="199">
        <f t="shared" si="130"/>
        <v>-9.3186409473419189</v>
      </c>
      <c r="DQ74" s="199">
        <f t="shared" si="130"/>
        <v>-9.3186409473419189</v>
      </c>
      <c r="DR74" s="199">
        <f t="shared" si="130"/>
        <v>-9.3186409473419189</v>
      </c>
      <c r="DS74" s="199">
        <f t="shared" si="130"/>
        <v>-9.3186409473419189</v>
      </c>
      <c r="DT74" s="199">
        <f t="shared" si="130"/>
        <v>-9.3186409473419189</v>
      </c>
      <c r="DU74" s="199">
        <f t="shared" si="130"/>
        <v>-9.3186409473419189</v>
      </c>
      <c r="DV74" s="199">
        <f t="shared" si="130"/>
        <v>-9.3186409473419189</v>
      </c>
      <c r="DW74" s="199">
        <f t="shared" si="130"/>
        <v>-9.3186409473419189</v>
      </c>
      <c r="DX74" s="199">
        <f t="shared" si="130"/>
        <v>-9.3186409473419189</v>
      </c>
      <c r="DY74" s="199">
        <f t="shared" si="130"/>
        <v>-9.3186409473419189</v>
      </c>
      <c r="DZ74" s="199">
        <f t="shared" si="130"/>
        <v>-9.3186409473419189</v>
      </c>
      <c r="EA74" s="199">
        <f t="shared" si="130"/>
        <v>-9.3186409473419189</v>
      </c>
      <c r="EB74" s="199">
        <f t="shared" si="130"/>
        <v>-9.3186409473419189</v>
      </c>
      <c r="EC74" s="199">
        <f t="shared" si="130"/>
        <v>-9.3186409473419189</v>
      </c>
      <c r="ED74" s="199">
        <f t="shared" si="130"/>
        <v>-9.3186409473419189</v>
      </c>
      <c r="EE74" s="199">
        <f t="shared" si="130"/>
        <v>-9.3186409473419189</v>
      </c>
      <c r="EF74" s="199">
        <f t="shared" si="130"/>
        <v>-9.3186409473419189</v>
      </c>
      <c r="EG74" s="199">
        <f t="shared" si="130"/>
        <v>-9.3186409473419189</v>
      </c>
      <c r="EH74" s="199">
        <f t="shared" si="130"/>
        <v>-9.3186409473419189</v>
      </c>
      <c r="EI74" s="199">
        <f t="shared" si="130"/>
        <v>-9.3186409473419189</v>
      </c>
      <c r="EJ74" s="199">
        <f t="shared" si="130"/>
        <v>-9.3186409473419189</v>
      </c>
      <c r="EK74" s="199">
        <f t="shared" si="130"/>
        <v>-9.3186409473419189</v>
      </c>
      <c r="EL74" s="199">
        <f t="shared" si="130"/>
        <v>-9.3186409473419189</v>
      </c>
      <c r="EM74" s="199">
        <f t="shared" si="130"/>
        <v>-9.3186409473419189</v>
      </c>
      <c r="EN74" s="199">
        <f t="shared" si="130"/>
        <v>-9.3186409473419189</v>
      </c>
      <c r="EO74" s="199">
        <f t="shared" ref="EO74:ET74" si="131">+SUM(EO72:EO73)</f>
        <v>-9.3186409473419189</v>
      </c>
      <c r="EP74" s="199">
        <f t="shared" si="131"/>
        <v>-9.3186409473419189</v>
      </c>
      <c r="EQ74" s="199">
        <f t="shared" si="131"/>
        <v>-9.3186409473419189</v>
      </c>
      <c r="ER74" s="199">
        <f t="shared" si="131"/>
        <v>-9.3186409473419189</v>
      </c>
      <c r="ES74" s="199">
        <f t="shared" si="131"/>
        <v>-9.3186409473419189</v>
      </c>
      <c r="ET74" s="199">
        <f t="shared" si="131"/>
        <v>-9.3186409473419189</v>
      </c>
      <c r="EV74" s="190" t="s">
        <v>82</v>
      </c>
    </row>
    <row r="75" spans="5:152" s="55" customFormat="1" ht="15" customHeight="1" outlineLevel="1" x14ac:dyDescent="0.3">
      <c r="E75" s="56" t="s">
        <v>99</v>
      </c>
      <c r="F75" s="57">
        <f>XIRR(G75:ET75,G67:ET67)</f>
        <v>9.5341792702674844E-2</v>
      </c>
      <c r="G75" s="58">
        <f>+G73+G71+G69</f>
        <v>-1016124675.9072572</v>
      </c>
      <c r="H75" s="58">
        <f t="shared" ref="H75:BS75" si="132">+H73+H71+H69</f>
        <v>39722193.686491989</v>
      </c>
      <c r="I75" s="58">
        <f t="shared" si="132"/>
        <v>62408662.036491983</v>
      </c>
      <c r="J75" s="58">
        <f t="shared" si="132"/>
        <v>80938043.094491974</v>
      </c>
      <c r="K75" s="58">
        <f t="shared" si="132"/>
        <v>86261537.324851528</v>
      </c>
      <c r="L75" s="58">
        <f t="shared" si="132"/>
        <v>91106341.720854744</v>
      </c>
      <c r="M75" s="58">
        <f t="shared" si="132"/>
        <v>11665778.764778009</v>
      </c>
      <c r="N75" s="58">
        <f t="shared" si="132"/>
        <v>89876538.811579734</v>
      </c>
      <c r="O75" s="58">
        <f t="shared" si="132"/>
        <v>92810204.31931752</v>
      </c>
      <c r="P75" s="58">
        <f t="shared" si="132"/>
        <v>96387265.097210035</v>
      </c>
      <c r="Q75" s="58">
        <f t="shared" si="132"/>
        <v>1509932189.0053256</v>
      </c>
      <c r="R75" s="58">
        <f t="shared" si="132"/>
        <v>0</v>
      </c>
      <c r="S75" s="58">
        <f t="shared" si="132"/>
        <v>0</v>
      </c>
      <c r="T75" s="58">
        <f t="shared" si="132"/>
        <v>0</v>
      </c>
      <c r="U75" s="58">
        <f t="shared" si="132"/>
        <v>0</v>
      </c>
      <c r="V75" s="58">
        <f t="shared" si="132"/>
        <v>0</v>
      </c>
      <c r="W75" s="58">
        <f t="shared" si="132"/>
        <v>0</v>
      </c>
      <c r="X75" s="58">
        <f t="shared" si="132"/>
        <v>0</v>
      </c>
      <c r="Y75" s="58">
        <f t="shared" si="132"/>
        <v>0</v>
      </c>
      <c r="Z75" s="58">
        <f t="shared" si="132"/>
        <v>0</v>
      </c>
      <c r="AA75" s="58">
        <f t="shared" si="132"/>
        <v>0</v>
      </c>
      <c r="AB75" s="58">
        <f t="shared" si="132"/>
        <v>0</v>
      </c>
      <c r="AC75" s="58">
        <f t="shared" si="132"/>
        <v>0</v>
      </c>
      <c r="AD75" s="58">
        <f t="shared" si="132"/>
        <v>0</v>
      </c>
      <c r="AE75" s="58">
        <f t="shared" si="132"/>
        <v>0</v>
      </c>
      <c r="AF75" s="58">
        <f t="shared" si="132"/>
        <v>0</v>
      </c>
      <c r="AG75" s="58">
        <f t="shared" si="132"/>
        <v>0</v>
      </c>
      <c r="AH75" s="58">
        <f t="shared" si="132"/>
        <v>0</v>
      </c>
      <c r="AI75" s="58">
        <f t="shared" si="132"/>
        <v>0</v>
      </c>
      <c r="AJ75" s="58">
        <f t="shared" si="132"/>
        <v>0</v>
      </c>
      <c r="AK75" s="58">
        <f t="shared" si="132"/>
        <v>0</v>
      </c>
      <c r="AL75" s="58">
        <f t="shared" si="132"/>
        <v>0</v>
      </c>
      <c r="AM75" s="58">
        <f t="shared" si="132"/>
        <v>0</v>
      </c>
      <c r="AN75" s="58">
        <f t="shared" si="132"/>
        <v>0</v>
      </c>
      <c r="AO75" s="58">
        <f t="shared" si="132"/>
        <v>0</v>
      </c>
      <c r="AP75" s="58">
        <f t="shared" si="132"/>
        <v>0</v>
      </c>
      <c r="AQ75" s="58">
        <f t="shared" si="132"/>
        <v>0</v>
      </c>
      <c r="AR75" s="58">
        <f t="shared" si="132"/>
        <v>0</v>
      </c>
      <c r="AS75" s="58">
        <f t="shared" si="132"/>
        <v>0</v>
      </c>
      <c r="AT75" s="58">
        <f t="shared" si="132"/>
        <v>0</v>
      </c>
      <c r="AU75" s="58">
        <f t="shared" si="132"/>
        <v>0</v>
      </c>
      <c r="AV75" s="58">
        <f t="shared" si="132"/>
        <v>0</v>
      </c>
      <c r="AW75" s="58">
        <f t="shared" si="132"/>
        <v>0</v>
      </c>
      <c r="AX75" s="58">
        <f t="shared" si="132"/>
        <v>0</v>
      </c>
      <c r="AY75" s="58">
        <f t="shared" si="132"/>
        <v>0</v>
      </c>
      <c r="AZ75" s="58">
        <f t="shared" si="132"/>
        <v>0</v>
      </c>
      <c r="BA75" s="58">
        <f t="shared" si="132"/>
        <v>0</v>
      </c>
      <c r="BB75" s="58">
        <f t="shared" si="132"/>
        <v>0</v>
      </c>
      <c r="BC75" s="58">
        <f t="shared" si="132"/>
        <v>0</v>
      </c>
      <c r="BD75" s="58">
        <f t="shared" si="132"/>
        <v>0</v>
      </c>
      <c r="BE75" s="58">
        <f t="shared" si="132"/>
        <v>0</v>
      </c>
      <c r="BF75" s="58">
        <f t="shared" si="132"/>
        <v>0</v>
      </c>
      <c r="BG75" s="58">
        <f t="shared" si="132"/>
        <v>0</v>
      </c>
      <c r="BH75" s="58">
        <f t="shared" si="132"/>
        <v>0</v>
      </c>
      <c r="BI75" s="58">
        <f t="shared" si="132"/>
        <v>0</v>
      </c>
      <c r="BJ75" s="58">
        <f t="shared" si="132"/>
        <v>0</v>
      </c>
      <c r="BK75" s="58">
        <f t="shared" si="132"/>
        <v>0</v>
      </c>
      <c r="BL75" s="58">
        <f t="shared" si="132"/>
        <v>0</v>
      </c>
      <c r="BM75" s="58">
        <f t="shared" si="132"/>
        <v>0</v>
      </c>
      <c r="BN75" s="58">
        <f t="shared" si="132"/>
        <v>0</v>
      </c>
      <c r="BO75" s="58">
        <f t="shared" si="132"/>
        <v>0</v>
      </c>
      <c r="BP75" s="58">
        <f t="shared" si="132"/>
        <v>0</v>
      </c>
      <c r="BQ75" s="58">
        <f t="shared" si="132"/>
        <v>0</v>
      </c>
      <c r="BR75" s="58">
        <f t="shared" si="132"/>
        <v>0</v>
      </c>
      <c r="BS75" s="58">
        <f t="shared" si="132"/>
        <v>0</v>
      </c>
      <c r="BT75" s="58">
        <f t="shared" ref="BT75:EE75" si="133">+BT73+BT71+BT69</f>
        <v>0</v>
      </c>
      <c r="BU75" s="58">
        <f t="shared" si="133"/>
        <v>0</v>
      </c>
      <c r="BV75" s="58">
        <f t="shared" si="133"/>
        <v>0</v>
      </c>
      <c r="BW75" s="58">
        <f t="shared" si="133"/>
        <v>0</v>
      </c>
      <c r="BX75" s="58">
        <f t="shared" si="133"/>
        <v>0</v>
      </c>
      <c r="BY75" s="58">
        <f t="shared" si="133"/>
        <v>0</v>
      </c>
      <c r="BZ75" s="58">
        <f t="shared" si="133"/>
        <v>0</v>
      </c>
      <c r="CA75" s="58">
        <f t="shared" si="133"/>
        <v>0</v>
      </c>
      <c r="CB75" s="58">
        <f t="shared" si="133"/>
        <v>0</v>
      </c>
      <c r="CC75" s="58">
        <f t="shared" si="133"/>
        <v>0</v>
      </c>
      <c r="CD75" s="58">
        <f t="shared" si="133"/>
        <v>0</v>
      </c>
      <c r="CE75" s="58">
        <f t="shared" si="133"/>
        <v>0</v>
      </c>
      <c r="CF75" s="58">
        <f t="shared" si="133"/>
        <v>0</v>
      </c>
      <c r="CG75" s="58">
        <f t="shared" si="133"/>
        <v>0</v>
      </c>
      <c r="CH75" s="58">
        <f t="shared" si="133"/>
        <v>0</v>
      </c>
      <c r="CI75" s="58">
        <f t="shared" si="133"/>
        <v>0</v>
      </c>
      <c r="CJ75" s="58">
        <f t="shared" si="133"/>
        <v>0</v>
      </c>
      <c r="CK75" s="58">
        <f t="shared" si="133"/>
        <v>0</v>
      </c>
      <c r="CL75" s="58">
        <f t="shared" si="133"/>
        <v>0</v>
      </c>
      <c r="CM75" s="58">
        <f t="shared" si="133"/>
        <v>0</v>
      </c>
      <c r="CN75" s="58">
        <f t="shared" si="133"/>
        <v>0</v>
      </c>
      <c r="CO75" s="58">
        <f t="shared" si="133"/>
        <v>0</v>
      </c>
      <c r="CP75" s="58">
        <f t="shared" si="133"/>
        <v>0</v>
      </c>
      <c r="CQ75" s="58">
        <f t="shared" si="133"/>
        <v>0</v>
      </c>
      <c r="CR75" s="58">
        <f t="shared" si="133"/>
        <v>0</v>
      </c>
      <c r="CS75" s="58">
        <f t="shared" si="133"/>
        <v>0</v>
      </c>
      <c r="CT75" s="58">
        <f t="shared" si="133"/>
        <v>0</v>
      </c>
      <c r="CU75" s="58">
        <f t="shared" si="133"/>
        <v>0</v>
      </c>
      <c r="CV75" s="58">
        <f t="shared" si="133"/>
        <v>0</v>
      </c>
      <c r="CW75" s="58">
        <f t="shared" si="133"/>
        <v>0</v>
      </c>
      <c r="CX75" s="58">
        <f t="shared" si="133"/>
        <v>0</v>
      </c>
      <c r="CY75" s="58">
        <f t="shared" si="133"/>
        <v>0</v>
      </c>
      <c r="CZ75" s="58">
        <f t="shared" si="133"/>
        <v>0</v>
      </c>
      <c r="DA75" s="58">
        <f t="shared" si="133"/>
        <v>0</v>
      </c>
      <c r="DB75" s="58">
        <f t="shared" si="133"/>
        <v>0</v>
      </c>
      <c r="DC75" s="58">
        <f t="shared" si="133"/>
        <v>0</v>
      </c>
      <c r="DD75" s="58">
        <f t="shared" si="133"/>
        <v>0</v>
      </c>
      <c r="DE75" s="58">
        <f t="shared" si="133"/>
        <v>0</v>
      </c>
      <c r="DF75" s="58">
        <f t="shared" si="133"/>
        <v>0</v>
      </c>
      <c r="DG75" s="58">
        <f t="shared" si="133"/>
        <v>0</v>
      </c>
      <c r="DH75" s="58">
        <f t="shared" si="133"/>
        <v>0</v>
      </c>
      <c r="DI75" s="58">
        <f t="shared" si="133"/>
        <v>0</v>
      </c>
      <c r="DJ75" s="58">
        <f t="shared" si="133"/>
        <v>0</v>
      </c>
      <c r="DK75" s="58">
        <f t="shared" si="133"/>
        <v>0</v>
      </c>
      <c r="DL75" s="58">
        <f t="shared" si="133"/>
        <v>0</v>
      </c>
      <c r="DM75" s="58">
        <f t="shared" si="133"/>
        <v>0</v>
      </c>
      <c r="DN75" s="58">
        <f t="shared" si="133"/>
        <v>0</v>
      </c>
      <c r="DO75" s="58">
        <f t="shared" si="133"/>
        <v>0</v>
      </c>
      <c r="DP75" s="58">
        <f t="shared" si="133"/>
        <v>0</v>
      </c>
      <c r="DQ75" s="58">
        <f t="shared" si="133"/>
        <v>0</v>
      </c>
      <c r="DR75" s="58">
        <f t="shared" si="133"/>
        <v>0</v>
      </c>
      <c r="DS75" s="58">
        <f t="shared" si="133"/>
        <v>0</v>
      </c>
      <c r="DT75" s="58">
        <f t="shared" si="133"/>
        <v>0</v>
      </c>
      <c r="DU75" s="58">
        <f t="shared" si="133"/>
        <v>0</v>
      </c>
      <c r="DV75" s="58">
        <f t="shared" si="133"/>
        <v>0</v>
      </c>
      <c r="DW75" s="58">
        <f t="shared" si="133"/>
        <v>0</v>
      </c>
      <c r="DX75" s="58">
        <f t="shared" si="133"/>
        <v>0</v>
      </c>
      <c r="DY75" s="58">
        <f t="shared" si="133"/>
        <v>0</v>
      </c>
      <c r="DZ75" s="58">
        <f t="shared" si="133"/>
        <v>0</v>
      </c>
      <c r="EA75" s="58">
        <f t="shared" si="133"/>
        <v>0</v>
      </c>
      <c r="EB75" s="58">
        <f t="shared" si="133"/>
        <v>0</v>
      </c>
      <c r="EC75" s="58">
        <f t="shared" si="133"/>
        <v>0</v>
      </c>
      <c r="ED75" s="58">
        <f t="shared" si="133"/>
        <v>0</v>
      </c>
      <c r="EE75" s="58">
        <f t="shared" si="133"/>
        <v>0</v>
      </c>
      <c r="EF75" s="58">
        <f t="shared" ref="EF75:ET75" si="134">+EF73+EF71+EF69</f>
        <v>0</v>
      </c>
      <c r="EG75" s="58">
        <f t="shared" si="134"/>
        <v>0</v>
      </c>
      <c r="EH75" s="58">
        <f t="shared" si="134"/>
        <v>0</v>
      </c>
      <c r="EI75" s="58">
        <f t="shared" si="134"/>
        <v>0</v>
      </c>
      <c r="EJ75" s="58">
        <f t="shared" si="134"/>
        <v>0</v>
      </c>
      <c r="EK75" s="58">
        <f t="shared" si="134"/>
        <v>0</v>
      </c>
      <c r="EL75" s="58">
        <f t="shared" si="134"/>
        <v>0</v>
      </c>
      <c r="EM75" s="58">
        <f t="shared" si="134"/>
        <v>0</v>
      </c>
      <c r="EN75" s="58">
        <f t="shared" si="134"/>
        <v>0</v>
      </c>
      <c r="EO75" s="58">
        <f t="shared" si="134"/>
        <v>0</v>
      </c>
      <c r="EP75" s="58">
        <f t="shared" si="134"/>
        <v>0</v>
      </c>
      <c r="EQ75" s="58">
        <f t="shared" si="134"/>
        <v>0</v>
      </c>
      <c r="ER75" s="58">
        <f t="shared" si="134"/>
        <v>0</v>
      </c>
      <c r="ES75" s="58">
        <f t="shared" si="134"/>
        <v>0</v>
      </c>
      <c r="ET75" s="58">
        <f t="shared" si="134"/>
        <v>0</v>
      </c>
      <c r="EV75" s="190" t="s">
        <v>82</v>
      </c>
    </row>
    <row r="76" spans="5:152" s="61" customFormat="1" ht="15" customHeight="1" outlineLevel="1" x14ac:dyDescent="0.3">
      <c r="E76" s="59"/>
      <c r="F76" s="6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c r="CR76" s="50"/>
      <c r="CS76" s="50"/>
      <c r="CT76" s="50"/>
      <c r="CU76" s="50"/>
      <c r="CV76" s="50"/>
      <c r="CW76" s="50"/>
      <c r="CX76" s="50"/>
      <c r="CY76" s="50"/>
      <c r="CZ76" s="50"/>
      <c r="DA76" s="50"/>
      <c r="DB76" s="50"/>
      <c r="DC76" s="50"/>
      <c r="DD76" s="50"/>
      <c r="DE76" s="50"/>
      <c r="DF76" s="50"/>
      <c r="DG76" s="50"/>
      <c r="DH76" s="50"/>
      <c r="DI76" s="50"/>
      <c r="DJ76" s="50"/>
      <c r="DK76" s="50"/>
      <c r="DL76" s="50"/>
      <c r="DM76" s="50"/>
      <c r="DN76" s="50"/>
      <c r="DO76" s="50"/>
      <c r="DP76" s="50"/>
      <c r="DQ76" s="50"/>
      <c r="DR76" s="50"/>
      <c r="DS76" s="50"/>
      <c r="DT76" s="50"/>
      <c r="DU76" s="50"/>
      <c r="DV76" s="50"/>
      <c r="DW76" s="50"/>
      <c r="DX76" s="50"/>
      <c r="DY76" s="50"/>
      <c r="DZ76" s="50"/>
      <c r="EA76" s="50"/>
      <c r="EB76" s="50"/>
      <c r="EC76" s="50"/>
      <c r="ED76" s="50"/>
      <c r="EE76" s="50"/>
      <c r="EF76" s="50"/>
      <c r="EG76" s="50"/>
      <c r="EH76" s="50"/>
      <c r="EI76" s="50"/>
      <c r="EJ76" s="50"/>
      <c r="EK76" s="50"/>
      <c r="EL76" s="50"/>
      <c r="EM76" s="50"/>
      <c r="EN76" s="50"/>
      <c r="EO76" s="50"/>
      <c r="EP76" s="50"/>
      <c r="EQ76" s="50"/>
      <c r="ER76" s="50"/>
      <c r="ES76" s="50"/>
      <c r="ET76" s="50"/>
    </row>
    <row r="77" spans="5:152" ht="15" customHeight="1" outlineLevel="1" x14ac:dyDescent="0.3"/>
    <row r="78" spans="5:152" outlineLevel="1" x14ac:dyDescent="0.3"/>
    <row r="79" spans="5:152" outlineLevel="1" x14ac:dyDescent="0.3"/>
  </sheetData>
  <conditionalFormatting sqref="G51:ET51">
    <cfRule type="cellIs" dxfId="1" priority="1" operator="equal">
      <formula>TRUE</formula>
    </cfRule>
    <cfRule type="cellIs" dxfId="0" priority="2" operator="equal">
      <formula>FALSE</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078B-C50B-467B-8B81-F5DD7EB4F6A6}">
  <sheetPr>
    <tabColor rgb="FF0070C0"/>
  </sheetPr>
  <dimension ref="A1"/>
  <sheetViews>
    <sheetView showGridLines="0"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7075C-1B63-433A-8F38-5E67A4138F1B}">
  <sheetPr>
    <tabColor rgb="FF0070C0"/>
  </sheetPr>
  <dimension ref="A1:N129"/>
  <sheetViews>
    <sheetView showGridLines="0" workbookViewId="0">
      <selection activeCell="B4" sqref="B4:I4"/>
    </sheetView>
  </sheetViews>
  <sheetFormatPr defaultRowHeight="14.4" x14ac:dyDescent="0.3"/>
  <cols>
    <col min="1" max="1" width="18.44140625" bestFit="1" customWidth="1"/>
    <col min="2" max="2" width="33.33203125" bestFit="1" customWidth="1"/>
    <col min="3" max="13" width="15.33203125" bestFit="1" customWidth="1"/>
    <col min="14" max="14" width="16.88671875" bestFit="1" customWidth="1"/>
  </cols>
  <sheetData>
    <row r="1" spans="1:14" ht="15" thickBot="1" x14ac:dyDescent="0.35">
      <c r="A1" s="177"/>
      <c r="B1" s="85" t="s">
        <v>203</v>
      </c>
      <c r="C1" s="178">
        <v>1</v>
      </c>
      <c r="D1" s="178">
        <v>2</v>
      </c>
      <c r="E1" s="178">
        <v>3</v>
      </c>
      <c r="F1" s="178">
        <v>4</v>
      </c>
      <c r="G1" s="178">
        <v>5</v>
      </c>
      <c r="H1" s="178">
        <v>6</v>
      </c>
      <c r="I1" s="178">
        <v>7</v>
      </c>
      <c r="J1" s="178">
        <v>8</v>
      </c>
      <c r="K1" s="178">
        <v>9</v>
      </c>
      <c r="L1" s="178">
        <v>10</v>
      </c>
      <c r="M1" s="178">
        <v>11</v>
      </c>
      <c r="N1" s="178"/>
    </row>
    <row r="2" spans="1:14" x14ac:dyDescent="0.3">
      <c r="A2" s="86" t="s">
        <v>204</v>
      </c>
      <c r="B2" s="547" t="s">
        <v>168</v>
      </c>
      <c r="C2" s="547"/>
      <c r="D2" s="547"/>
      <c r="E2" s="547"/>
      <c r="F2" s="547"/>
      <c r="G2" s="547"/>
      <c r="H2" s="547"/>
      <c r="I2" s="547"/>
    </row>
    <row r="3" spans="1:14" ht="15" customHeight="1" x14ac:dyDescent="0.3">
      <c r="A3" s="87"/>
      <c r="B3" s="548" t="s">
        <v>940</v>
      </c>
      <c r="C3" s="548"/>
      <c r="D3" s="548"/>
      <c r="E3" s="548"/>
      <c r="F3" s="548"/>
      <c r="G3" s="548"/>
      <c r="H3" s="548"/>
      <c r="I3" s="548"/>
    </row>
    <row r="4" spans="1:14" x14ac:dyDescent="0.3">
      <c r="A4" s="87"/>
      <c r="B4" s="548" t="s">
        <v>926</v>
      </c>
      <c r="C4" s="548"/>
      <c r="D4" s="548"/>
      <c r="E4" s="548"/>
      <c r="F4" s="548"/>
      <c r="G4" s="548"/>
      <c r="H4" s="548"/>
      <c r="I4" s="548"/>
    </row>
    <row r="5" spans="1:14" x14ac:dyDescent="0.3">
      <c r="A5" s="87"/>
      <c r="B5" s="548" t="s">
        <v>941</v>
      </c>
      <c r="C5" s="548"/>
      <c r="D5" s="548"/>
      <c r="E5" s="548"/>
      <c r="F5" s="548"/>
      <c r="G5" s="548"/>
      <c r="H5" s="548"/>
      <c r="I5" s="548"/>
    </row>
    <row r="6" spans="1:14" x14ac:dyDescent="0.3">
      <c r="A6" s="87"/>
    </row>
    <row r="7" spans="1:14" x14ac:dyDescent="0.3">
      <c r="A7" s="87"/>
      <c r="C7" s="524" t="s">
        <v>381</v>
      </c>
      <c r="D7" s="524" t="s">
        <v>381</v>
      </c>
      <c r="E7" s="524" t="s">
        <v>381</v>
      </c>
      <c r="F7" s="524" t="s">
        <v>381</v>
      </c>
      <c r="G7" s="524" t="s">
        <v>381</v>
      </c>
      <c r="H7" s="524" t="s">
        <v>381</v>
      </c>
      <c r="I7" s="524" t="s">
        <v>381</v>
      </c>
      <c r="J7" s="524" t="s">
        <v>381</v>
      </c>
      <c r="K7" s="524" t="s">
        <v>381</v>
      </c>
      <c r="L7" s="524" t="s">
        <v>381</v>
      </c>
      <c r="M7" s="524" t="s">
        <v>381</v>
      </c>
      <c r="N7" s="524" t="s">
        <v>381</v>
      </c>
    </row>
    <row r="8" spans="1:14" x14ac:dyDescent="0.3">
      <c r="A8" s="87"/>
    </row>
    <row r="9" spans="1:14" x14ac:dyDescent="0.3">
      <c r="A9" s="87"/>
      <c r="C9" s="525" t="s">
        <v>382</v>
      </c>
      <c r="D9" s="525" t="s">
        <v>383</v>
      </c>
      <c r="E9" s="525" t="s">
        <v>384</v>
      </c>
      <c r="F9" s="525" t="s">
        <v>385</v>
      </c>
      <c r="G9" s="525" t="s">
        <v>386</v>
      </c>
      <c r="H9" s="525" t="s">
        <v>387</v>
      </c>
      <c r="I9" s="525" t="s">
        <v>388</v>
      </c>
      <c r="J9" s="525" t="s">
        <v>389</v>
      </c>
      <c r="K9" s="525" t="s">
        <v>390</v>
      </c>
      <c r="L9" s="525" t="s">
        <v>391</v>
      </c>
      <c r="M9" s="525" t="s">
        <v>392</v>
      </c>
    </row>
    <row r="10" spans="1:14" x14ac:dyDescent="0.3">
      <c r="A10" s="87"/>
      <c r="B10" s="526" t="s">
        <v>102</v>
      </c>
      <c r="C10" s="527" t="s">
        <v>393</v>
      </c>
      <c r="D10" s="527" t="s">
        <v>394</v>
      </c>
      <c r="E10" s="527" t="s">
        <v>395</v>
      </c>
      <c r="F10" s="527" t="s">
        <v>396</v>
      </c>
      <c r="G10" s="527" t="s">
        <v>397</v>
      </c>
      <c r="H10" s="527" t="s">
        <v>398</v>
      </c>
      <c r="I10" s="527" t="s">
        <v>399</v>
      </c>
      <c r="J10" s="527" t="s">
        <v>400</v>
      </c>
      <c r="K10" s="527" t="s">
        <v>401</v>
      </c>
      <c r="L10" s="527" t="s">
        <v>402</v>
      </c>
      <c r="M10" s="527" t="s">
        <v>403</v>
      </c>
      <c r="N10" s="527" t="s">
        <v>404</v>
      </c>
    </row>
    <row r="11" spans="1:14" x14ac:dyDescent="0.3">
      <c r="A11" s="87"/>
    </row>
    <row r="12" spans="1:14" ht="15" customHeight="1" x14ac:dyDescent="0.3">
      <c r="A12" s="546" t="s">
        <v>209</v>
      </c>
      <c r="B12" s="528" t="s">
        <v>103</v>
      </c>
    </row>
    <row r="13" spans="1:14" x14ac:dyDescent="0.3">
      <c r="A13" s="546"/>
      <c r="B13" s="529" t="s">
        <v>104</v>
      </c>
      <c r="C13" s="530">
        <v>192730265</v>
      </c>
      <c r="D13" s="530">
        <v>196665836</v>
      </c>
      <c r="E13" s="530">
        <v>201172086</v>
      </c>
      <c r="F13" s="530">
        <v>203672189</v>
      </c>
      <c r="G13" s="530">
        <v>201866506</v>
      </c>
      <c r="H13" s="530">
        <v>189739704</v>
      </c>
      <c r="I13" s="530">
        <v>188872887</v>
      </c>
      <c r="J13" s="530">
        <v>191192600</v>
      </c>
      <c r="K13" s="530">
        <v>191761766</v>
      </c>
      <c r="L13" s="530">
        <v>194585931</v>
      </c>
      <c r="M13" s="530">
        <v>197724472</v>
      </c>
      <c r="N13" s="530">
        <v>2149984241</v>
      </c>
    </row>
    <row r="14" spans="1:14" x14ac:dyDescent="0.3">
      <c r="A14" s="546"/>
      <c r="B14" s="529" t="s">
        <v>105</v>
      </c>
      <c r="C14" s="530">
        <v>-19906573</v>
      </c>
      <c r="D14" s="530">
        <v>-14667121</v>
      </c>
      <c r="E14" s="530">
        <v>-5159640</v>
      </c>
      <c r="F14" s="530">
        <v>-4447950</v>
      </c>
      <c r="G14" s="530">
        <v>-7092471</v>
      </c>
      <c r="H14" s="530">
        <v>-17970691</v>
      </c>
      <c r="I14" s="530">
        <v>-1492850</v>
      </c>
      <c r="J14" s="530">
        <v>-1401642</v>
      </c>
      <c r="K14" s="530">
        <v>-1555210</v>
      </c>
      <c r="L14" s="530">
        <v>-636553</v>
      </c>
      <c r="M14" s="530">
        <v>-7352362</v>
      </c>
      <c r="N14" s="530">
        <v>-81683064</v>
      </c>
    </row>
    <row r="15" spans="1:14" x14ac:dyDescent="0.3">
      <c r="A15" s="546"/>
      <c r="B15" s="529" t="s">
        <v>106</v>
      </c>
      <c r="C15" s="530">
        <v>-6047431</v>
      </c>
      <c r="D15" s="530">
        <v>-5519907</v>
      </c>
      <c r="E15" s="530">
        <v>-4347120</v>
      </c>
      <c r="F15" s="530">
        <v>-2773989</v>
      </c>
      <c r="G15" s="530">
        <v>-2060532</v>
      </c>
      <c r="H15" s="530">
        <v>-9599230</v>
      </c>
      <c r="I15" s="530">
        <v>-859887</v>
      </c>
      <c r="J15" s="530">
        <v>-928928</v>
      </c>
      <c r="K15" s="530">
        <v>-897880</v>
      </c>
      <c r="L15" s="530">
        <v>-588828</v>
      </c>
      <c r="M15" s="530">
        <v>-2382661</v>
      </c>
      <c r="N15" s="530">
        <v>-36006392</v>
      </c>
    </row>
    <row r="16" spans="1:14" x14ac:dyDescent="0.3">
      <c r="A16" s="546"/>
      <c r="B16" s="529" t="s">
        <v>107</v>
      </c>
      <c r="C16" s="531">
        <v>166776261</v>
      </c>
      <c r="D16" s="531">
        <v>176478808</v>
      </c>
      <c r="E16" s="531">
        <v>191665326</v>
      </c>
      <c r="F16" s="531">
        <v>196450250</v>
      </c>
      <c r="G16" s="531">
        <v>192713503</v>
      </c>
      <c r="H16" s="531">
        <v>162169782</v>
      </c>
      <c r="I16" s="531">
        <v>186520150</v>
      </c>
      <c r="J16" s="531">
        <v>188862030</v>
      </c>
      <c r="K16" s="531">
        <v>189308676</v>
      </c>
      <c r="L16" s="531">
        <v>193360550</v>
      </c>
      <c r="M16" s="531">
        <v>187989449</v>
      </c>
      <c r="N16" s="531">
        <v>2032294785</v>
      </c>
    </row>
    <row r="17" spans="1:14" x14ac:dyDescent="0.3">
      <c r="A17" s="546"/>
      <c r="B17" s="526" t="s">
        <v>108</v>
      </c>
      <c r="C17" s="532">
        <v>166776261</v>
      </c>
      <c r="D17" s="532">
        <v>176478808</v>
      </c>
      <c r="E17" s="532">
        <v>191665326</v>
      </c>
      <c r="F17" s="532">
        <v>196450250</v>
      </c>
      <c r="G17" s="532">
        <v>192713503</v>
      </c>
      <c r="H17" s="532">
        <v>162169782</v>
      </c>
      <c r="I17" s="532">
        <v>186520150</v>
      </c>
      <c r="J17" s="532">
        <v>188862030</v>
      </c>
      <c r="K17" s="532">
        <v>189308676</v>
      </c>
      <c r="L17" s="532">
        <v>193360550</v>
      </c>
      <c r="M17" s="532">
        <v>187989449</v>
      </c>
      <c r="N17" s="532">
        <v>2032294785</v>
      </c>
    </row>
    <row r="18" spans="1:14" x14ac:dyDescent="0.3">
      <c r="A18" s="87"/>
    </row>
    <row r="19" spans="1:14" x14ac:dyDescent="0.3">
      <c r="A19" s="87"/>
      <c r="B19" s="528" t="s">
        <v>109</v>
      </c>
    </row>
    <row r="20" spans="1:14" x14ac:dyDescent="0.3">
      <c r="A20" s="87"/>
      <c r="B20" s="529" t="s">
        <v>110</v>
      </c>
      <c r="C20" s="530">
        <v>10664704</v>
      </c>
      <c r="D20" s="530">
        <v>12357653</v>
      </c>
      <c r="E20" s="530">
        <v>13921960</v>
      </c>
      <c r="F20" s="530">
        <v>14912340</v>
      </c>
      <c r="G20" s="530">
        <v>15685452</v>
      </c>
      <c r="H20" s="530">
        <v>11651807</v>
      </c>
      <c r="I20" s="530">
        <v>13941425</v>
      </c>
      <c r="J20" s="530">
        <v>15633018</v>
      </c>
      <c r="K20" s="530">
        <v>18116768</v>
      </c>
      <c r="L20" s="530">
        <v>20183830</v>
      </c>
      <c r="M20" s="530">
        <v>20489924</v>
      </c>
      <c r="N20" s="530">
        <v>167558881</v>
      </c>
    </row>
    <row r="21" spans="1:14" x14ac:dyDescent="0.3">
      <c r="A21" s="87"/>
      <c r="B21" s="526" t="s">
        <v>111</v>
      </c>
      <c r="C21" s="532">
        <v>10664704</v>
      </c>
      <c r="D21" s="532">
        <v>12357653</v>
      </c>
      <c r="E21" s="532">
        <v>13921960</v>
      </c>
      <c r="F21" s="532">
        <v>14912340</v>
      </c>
      <c r="G21" s="532">
        <v>15685452</v>
      </c>
      <c r="H21" s="532">
        <v>11651807</v>
      </c>
      <c r="I21" s="532">
        <v>13941425</v>
      </c>
      <c r="J21" s="532">
        <v>15633018</v>
      </c>
      <c r="K21" s="532">
        <v>18116768</v>
      </c>
      <c r="L21" s="532">
        <v>20183830</v>
      </c>
      <c r="M21" s="532">
        <v>20489924</v>
      </c>
      <c r="N21" s="532">
        <v>167558881</v>
      </c>
    </row>
    <row r="22" spans="1:14" x14ac:dyDescent="0.3">
      <c r="A22" s="87"/>
    </row>
    <row r="23" spans="1:14" x14ac:dyDescent="0.3">
      <c r="A23" s="87"/>
      <c r="B23" s="526" t="s">
        <v>112</v>
      </c>
      <c r="C23" s="533">
        <v>177440965</v>
      </c>
      <c r="D23" s="533">
        <v>188836461</v>
      </c>
      <c r="E23" s="533">
        <v>205587287</v>
      </c>
      <c r="F23" s="533">
        <v>211362590</v>
      </c>
      <c r="G23" s="533">
        <v>208398955</v>
      </c>
      <c r="H23" s="533">
        <v>173821589</v>
      </c>
      <c r="I23" s="533">
        <v>200461575</v>
      </c>
      <c r="J23" s="533">
        <v>204495048</v>
      </c>
      <c r="K23" s="533">
        <v>207425443</v>
      </c>
      <c r="L23" s="533">
        <v>213544380</v>
      </c>
      <c r="M23" s="533">
        <v>208479373</v>
      </c>
      <c r="N23" s="533">
        <v>2199853666</v>
      </c>
    </row>
    <row r="24" spans="1:14" x14ac:dyDescent="0.3">
      <c r="A24" s="87"/>
    </row>
    <row r="25" spans="1:14" x14ac:dyDescent="0.3">
      <c r="A25" s="87"/>
      <c r="B25" s="526" t="s">
        <v>113</v>
      </c>
      <c r="C25" s="533">
        <v>177440965</v>
      </c>
      <c r="D25" s="533">
        <v>188836461</v>
      </c>
      <c r="E25" s="533">
        <v>205587287</v>
      </c>
      <c r="F25" s="533">
        <v>211362590</v>
      </c>
      <c r="G25" s="533">
        <v>208398955</v>
      </c>
      <c r="H25" s="533">
        <v>173821589</v>
      </c>
      <c r="I25" s="533">
        <v>200461575</v>
      </c>
      <c r="J25" s="533">
        <v>204495048</v>
      </c>
      <c r="K25" s="533">
        <v>207425443</v>
      </c>
      <c r="L25" s="533">
        <v>213544380</v>
      </c>
      <c r="M25" s="533">
        <v>208479373</v>
      </c>
      <c r="N25" s="533">
        <v>2199853666</v>
      </c>
    </row>
    <row r="26" spans="1:14" x14ac:dyDescent="0.3">
      <c r="A26" s="87"/>
    </row>
    <row r="27" spans="1:14" x14ac:dyDescent="0.3">
      <c r="A27" s="87"/>
      <c r="B27" s="528" t="s">
        <v>114</v>
      </c>
    </row>
    <row r="28" spans="1:14" x14ac:dyDescent="0.3">
      <c r="A28" s="87"/>
      <c r="B28" s="529" t="s">
        <v>115</v>
      </c>
      <c r="C28" s="530">
        <v>-1439303</v>
      </c>
      <c r="D28" s="530">
        <v>-6042782</v>
      </c>
      <c r="E28" s="530">
        <v>-15915053</v>
      </c>
      <c r="F28" s="530">
        <v>-17133104</v>
      </c>
      <c r="G28" s="530">
        <v>-14523799</v>
      </c>
      <c r="H28" s="530">
        <v>-5377765</v>
      </c>
      <c r="I28" s="530">
        <v>-18702592</v>
      </c>
      <c r="J28" s="530">
        <v>-19188027</v>
      </c>
      <c r="K28" s="530">
        <v>-19342855</v>
      </c>
      <c r="L28" s="530">
        <v>-20781540</v>
      </c>
      <c r="M28" s="530">
        <v>-14230812</v>
      </c>
      <c r="N28" s="530">
        <v>-152677631</v>
      </c>
    </row>
    <row r="29" spans="1:14" x14ac:dyDescent="0.3">
      <c r="A29" s="87"/>
      <c r="B29" s="529" t="s">
        <v>116</v>
      </c>
      <c r="C29" s="530">
        <v>-1774410</v>
      </c>
      <c r="D29" s="530">
        <v>-1888365</v>
      </c>
      <c r="E29" s="530">
        <v>-2055873</v>
      </c>
      <c r="F29" s="530">
        <v>-2113626</v>
      </c>
      <c r="G29" s="530">
        <v>-2083990</v>
      </c>
      <c r="H29" s="530">
        <v>-1738216</v>
      </c>
      <c r="I29" s="530">
        <v>-2004616</v>
      </c>
      <c r="J29" s="530">
        <v>-2044950</v>
      </c>
      <c r="K29" s="530">
        <v>-2074254</v>
      </c>
      <c r="L29" s="530">
        <v>-2135444</v>
      </c>
      <c r="M29" s="530">
        <v>-2084794</v>
      </c>
      <c r="N29" s="530">
        <v>-21998537</v>
      </c>
    </row>
    <row r="30" spans="1:14" x14ac:dyDescent="0.3">
      <c r="A30" s="87"/>
      <c r="B30" s="526" t="s">
        <v>117</v>
      </c>
      <c r="C30" s="532">
        <v>-3213712</v>
      </c>
      <c r="D30" s="532">
        <v>-7931146</v>
      </c>
      <c r="E30" s="532">
        <v>-17970926</v>
      </c>
      <c r="F30" s="532">
        <v>-19246730</v>
      </c>
      <c r="G30" s="532">
        <v>-16607789</v>
      </c>
      <c r="H30" s="532">
        <v>-7115980</v>
      </c>
      <c r="I30" s="532">
        <v>-20707208</v>
      </c>
      <c r="J30" s="532">
        <v>-21232978</v>
      </c>
      <c r="K30" s="532">
        <v>-21417109</v>
      </c>
      <c r="L30" s="532">
        <v>-22916984</v>
      </c>
      <c r="M30" s="532">
        <v>-16315605</v>
      </c>
      <c r="N30" s="532">
        <v>-174676168</v>
      </c>
    </row>
    <row r="31" spans="1:14" x14ac:dyDescent="0.3">
      <c r="A31" s="87"/>
    </row>
    <row r="32" spans="1:14" x14ac:dyDescent="0.3">
      <c r="A32" s="87"/>
      <c r="B32" s="526" t="s">
        <v>118</v>
      </c>
      <c r="C32" s="533">
        <v>174227253</v>
      </c>
      <c r="D32" s="533">
        <v>180905315</v>
      </c>
      <c r="E32" s="533">
        <v>187616361</v>
      </c>
      <c r="F32" s="533">
        <v>192115860</v>
      </c>
      <c r="G32" s="533">
        <v>191791166</v>
      </c>
      <c r="H32" s="533">
        <v>166705609</v>
      </c>
      <c r="I32" s="533">
        <v>179754367</v>
      </c>
      <c r="J32" s="533">
        <v>183262070</v>
      </c>
      <c r="K32" s="533">
        <v>186008334</v>
      </c>
      <c r="L32" s="533">
        <v>190627396</v>
      </c>
      <c r="M32" s="533">
        <v>192163767</v>
      </c>
      <c r="N32" s="533">
        <v>2025177498</v>
      </c>
    </row>
    <row r="33" spans="1:14" x14ac:dyDescent="0.3">
      <c r="A33" s="87"/>
    </row>
    <row r="34" spans="1:14" x14ac:dyDescent="0.3">
      <c r="A34" s="87"/>
      <c r="B34" s="528" t="s">
        <v>119</v>
      </c>
    </row>
    <row r="35" spans="1:14" x14ac:dyDescent="0.3">
      <c r="A35" s="87" t="s">
        <v>205</v>
      </c>
      <c r="B35" s="526" t="s">
        <v>179</v>
      </c>
      <c r="C35" s="530">
        <v>43020000</v>
      </c>
      <c r="D35" s="530">
        <v>43880400</v>
      </c>
      <c r="E35" s="530">
        <v>44758008</v>
      </c>
      <c r="F35" s="530">
        <v>45653168</v>
      </c>
      <c r="G35" s="530">
        <v>46566232</v>
      </c>
      <c r="H35" s="530">
        <v>47497556</v>
      </c>
      <c r="I35" s="530">
        <v>48447507</v>
      </c>
      <c r="J35" s="530">
        <v>49416457</v>
      </c>
      <c r="K35" s="530">
        <v>50404787</v>
      </c>
      <c r="L35" s="530">
        <v>51412882</v>
      </c>
      <c r="M35" s="530">
        <v>52441140</v>
      </c>
      <c r="N35" s="530">
        <v>523498137</v>
      </c>
    </row>
    <row r="36" spans="1:14" x14ac:dyDescent="0.3">
      <c r="A36" s="87" t="s">
        <v>206</v>
      </c>
      <c r="B36" s="526" t="s">
        <v>180</v>
      </c>
      <c r="C36" s="530">
        <v>3398366</v>
      </c>
      <c r="D36" s="530">
        <v>3466333</v>
      </c>
      <c r="E36" s="530">
        <v>3535660</v>
      </c>
      <c r="F36" s="530">
        <v>3606373</v>
      </c>
      <c r="G36" s="530">
        <v>3678501</v>
      </c>
      <c r="H36" s="530">
        <v>3752071</v>
      </c>
      <c r="I36" s="530">
        <v>3827112</v>
      </c>
      <c r="J36" s="530">
        <v>3903654</v>
      </c>
      <c r="K36" s="530">
        <v>3981727</v>
      </c>
      <c r="L36" s="530">
        <v>4061362</v>
      </c>
      <c r="M36" s="530">
        <v>4142589</v>
      </c>
      <c r="N36" s="530">
        <v>41353750</v>
      </c>
    </row>
    <row r="37" spans="1:14" x14ac:dyDescent="0.3">
      <c r="A37" s="87" t="s">
        <v>207</v>
      </c>
      <c r="B37" s="526" t="s">
        <v>181</v>
      </c>
      <c r="C37" s="530">
        <v>5488270</v>
      </c>
      <c r="D37" s="530">
        <v>5806542</v>
      </c>
      <c r="E37" s="530">
        <v>6269198</v>
      </c>
      <c r="F37" s="530">
        <v>6427715</v>
      </c>
      <c r="G37" s="530">
        <v>6463487</v>
      </c>
      <c r="H37" s="530">
        <v>6227235</v>
      </c>
      <c r="I37" s="530">
        <v>6933606</v>
      </c>
      <c r="J37" s="530">
        <v>7079388</v>
      </c>
      <c r="K37" s="530">
        <v>7217229</v>
      </c>
      <c r="L37" s="530">
        <v>7388904</v>
      </c>
      <c r="M37" s="530">
        <v>7289734</v>
      </c>
      <c r="N37" s="530">
        <v>72591307</v>
      </c>
    </row>
    <row r="38" spans="1:14" x14ac:dyDescent="0.3">
      <c r="A38" s="87" t="s">
        <v>165</v>
      </c>
      <c r="B38" s="526" t="s">
        <v>182</v>
      </c>
      <c r="C38" s="530">
        <v>9335099</v>
      </c>
      <c r="D38" s="530">
        <v>9706005</v>
      </c>
      <c r="E38" s="530">
        <v>10206262</v>
      </c>
      <c r="F38" s="530">
        <v>10439659</v>
      </c>
      <c r="G38" s="530">
        <v>10566484</v>
      </c>
      <c r="H38" s="530">
        <v>10454894</v>
      </c>
      <c r="I38" s="530">
        <v>11178005</v>
      </c>
      <c r="J38" s="530">
        <v>11407846</v>
      </c>
      <c r="K38" s="530">
        <v>11632693</v>
      </c>
      <c r="L38" s="530">
        <v>11889492</v>
      </c>
      <c r="M38" s="530">
        <v>11909117</v>
      </c>
      <c r="N38" s="530">
        <v>118725556</v>
      </c>
    </row>
    <row r="39" spans="1:14" x14ac:dyDescent="0.3">
      <c r="A39" s="87" t="s">
        <v>208</v>
      </c>
      <c r="B39" s="526" t="s">
        <v>183</v>
      </c>
      <c r="C39" s="530">
        <v>5226818</v>
      </c>
      <c r="D39" s="530">
        <v>5427159</v>
      </c>
      <c r="E39" s="530">
        <v>5628491</v>
      </c>
      <c r="F39" s="530">
        <v>5763476</v>
      </c>
      <c r="G39" s="530">
        <v>5753735</v>
      </c>
      <c r="H39" s="530">
        <v>5001168</v>
      </c>
      <c r="I39" s="530">
        <v>5392631</v>
      </c>
      <c r="J39" s="530">
        <v>5497862</v>
      </c>
      <c r="K39" s="530">
        <v>5580250</v>
      </c>
      <c r="L39" s="530">
        <v>5718822</v>
      </c>
      <c r="M39" s="530">
        <v>5764913</v>
      </c>
      <c r="N39" s="530">
        <v>60755325</v>
      </c>
    </row>
    <row r="40" spans="1:14" x14ac:dyDescent="0.3">
      <c r="A40" s="87" t="s">
        <v>165</v>
      </c>
      <c r="B40" s="526" t="s">
        <v>184</v>
      </c>
      <c r="C40" s="530">
        <v>7723559</v>
      </c>
      <c r="D40" s="530">
        <v>7878030</v>
      </c>
      <c r="E40" s="530">
        <v>8035591</v>
      </c>
      <c r="F40" s="530">
        <v>8196303</v>
      </c>
      <c r="G40" s="530">
        <v>8360229</v>
      </c>
      <c r="H40" s="530">
        <v>8527434</v>
      </c>
      <c r="I40" s="530">
        <v>8697982</v>
      </c>
      <c r="J40" s="530">
        <v>8871942</v>
      </c>
      <c r="K40" s="530">
        <v>9049381</v>
      </c>
      <c r="L40" s="530">
        <v>9230368</v>
      </c>
      <c r="M40" s="530">
        <v>9414976</v>
      </c>
      <c r="N40" s="530">
        <v>93985795</v>
      </c>
    </row>
    <row r="41" spans="1:14" x14ac:dyDescent="0.3">
      <c r="A41" s="87" t="s">
        <v>165</v>
      </c>
      <c r="B41" s="526" t="s">
        <v>185</v>
      </c>
      <c r="C41" s="530">
        <v>1430000</v>
      </c>
      <c r="D41" s="530">
        <v>1458600</v>
      </c>
      <c r="E41" s="530">
        <v>1487772</v>
      </c>
      <c r="F41" s="530">
        <v>1517527</v>
      </c>
      <c r="G41" s="530">
        <v>1547878</v>
      </c>
      <c r="H41" s="530">
        <v>1578836</v>
      </c>
      <c r="I41" s="530">
        <v>1610412</v>
      </c>
      <c r="J41" s="530">
        <v>1642621</v>
      </c>
      <c r="K41" s="530">
        <v>1675473</v>
      </c>
      <c r="L41" s="530">
        <v>1708982</v>
      </c>
      <c r="M41" s="530">
        <v>1743162</v>
      </c>
      <c r="N41" s="530">
        <v>17401263</v>
      </c>
    </row>
    <row r="42" spans="1:14" x14ac:dyDescent="0.3">
      <c r="A42" s="87" t="s">
        <v>165</v>
      </c>
      <c r="B42" s="526" t="s">
        <v>186</v>
      </c>
      <c r="C42" s="530">
        <v>5318177</v>
      </c>
      <c r="D42" s="530">
        <v>5470535</v>
      </c>
      <c r="E42" s="530">
        <v>5656385</v>
      </c>
      <c r="F42" s="530">
        <v>5776821</v>
      </c>
      <c r="G42" s="530">
        <v>5871891</v>
      </c>
      <c r="H42" s="530">
        <v>5908699</v>
      </c>
      <c r="I42" s="530">
        <v>6155217</v>
      </c>
      <c r="J42" s="530">
        <v>6279890</v>
      </c>
      <c r="K42" s="530">
        <v>6404661</v>
      </c>
      <c r="L42" s="530">
        <v>6538783</v>
      </c>
      <c r="M42" s="530">
        <v>6615085</v>
      </c>
      <c r="N42" s="530">
        <v>65996143</v>
      </c>
    </row>
    <row r="43" spans="1:14" x14ac:dyDescent="0.3">
      <c r="A43" s="87" t="s">
        <v>165</v>
      </c>
      <c r="B43" s="526" t="s">
        <v>187</v>
      </c>
      <c r="C43" s="530">
        <v>6038419</v>
      </c>
      <c r="D43" s="530">
        <v>6159187</v>
      </c>
      <c r="E43" s="530">
        <v>6282371</v>
      </c>
      <c r="F43" s="530">
        <v>6408019</v>
      </c>
      <c r="G43" s="530">
        <v>6536179</v>
      </c>
      <c r="H43" s="530">
        <v>6666903</v>
      </c>
      <c r="I43" s="530">
        <v>6800241</v>
      </c>
      <c r="J43" s="530">
        <v>6936245</v>
      </c>
      <c r="K43" s="530">
        <v>7074970</v>
      </c>
      <c r="L43" s="530">
        <v>7216470</v>
      </c>
      <c r="M43" s="530">
        <v>7360799</v>
      </c>
      <c r="N43" s="530">
        <v>73479803</v>
      </c>
    </row>
    <row r="44" spans="1:14" x14ac:dyDescent="0.3">
      <c r="A44" s="87"/>
      <c r="B44" s="526" t="s">
        <v>120</v>
      </c>
      <c r="C44" s="532">
        <v>86978707</v>
      </c>
      <c r="D44" s="532">
        <v>89252793</v>
      </c>
      <c r="E44" s="532">
        <v>91859738</v>
      </c>
      <c r="F44" s="532">
        <v>93789062</v>
      </c>
      <c r="G44" s="532">
        <v>95344614</v>
      </c>
      <c r="H44" s="532">
        <v>95614795</v>
      </c>
      <c r="I44" s="532">
        <v>99042713</v>
      </c>
      <c r="J44" s="532">
        <v>101035906</v>
      </c>
      <c r="K44" s="532">
        <v>103021171</v>
      </c>
      <c r="L44" s="532">
        <v>105166066</v>
      </c>
      <c r="M44" s="532">
        <v>106681515</v>
      </c>
      <c r="N44" s="532">
        <v>1067787079</v>
      </c>
    </row>
    <row r="45" spans="1:14" x14ac:dyDescent="0.3">
      <c r="A45" s="87"/>
    </row>
    <row r="46" spans="1:14" x14ac:dyDescent="0.3">
      <c r="A46" s="87"/>
      <c r="B46" s="526" t="s">
        <v>121</v>
      </c>
      <c r="C46" s="533">
        <v>87248546</v>
      </c>
      <c r="D46" s="533">
        <v>91652523</v>
      </c>
      <c r="E46" s="533">
        <v>95756623</v>
      </c>
      <c r="F46" s="533">
        <v>98326798</v>
      </c>
      <c r="G46" s="533">
        <v>96446552</v>
      </c>
      <c r="H46" s="533">
        <v>71090813</v>
      </c>
      <c r="I46" s="533">
        <v>80711654</v>
      </c>
      <c r="J46" s="533">
        <v>82226165</v>
      </c>
      <c r="K46" s="533">
        <v>82987163</v>
      </c>
      <c r="L46" s="533">
        <v>85461330</v>
      </c>
      <c r="M46" s="533">
        <v>85482253</v>
      </c>
      <c r="N46" s="533">
        <v>957390419</v>
      </c>
    </row>
    <row r="47" spans="1:14" x14ac:dyDescent="0.3">
      <c r="A47" s="87"/>
    </row>
    <row r="48" spans="1:14" x14ac:dyDescent="0.3">
      <c r="A48" s="87"/>
      <c r="B48" s="528" t="s">
        <v>122</v>
      </c>
    </row>
    <row r="49" spans="1:14" x14ac:dyDescent="0.3">
      <c r="A49" s="87"/>
      <c r="B49" s="529" t="s">
        <v>123</v>
      </c>
      <c r="C49" s="530">
        <v>34949871</v>
      </c>
      <c r="D49" s="530">
        <v>22950092</v>
      </c>
      <c r="E49" s="530">
        <v>13696597</v>
      </c>
      <c r="F49" s="530">
        <v>10184088</v>
      </c>
      <c r="G49" s="530">
        <v>8652727</v>
      </c>
      <c r="H49" s="530">
        <v>53012645</v>
      </c>
      <c r="I49" s="530">
        <v>3063045</v>
      </c>
      <c r="J49" s="530">
        <v>3405628</v>
      </c>
      <c r="K49" s="530">
        <v>2850373</v>
      </c>
      <c r="L49" s="530">
        <v>1905593</v>
      </c>
      <c r="M49" s="530">
        <v>11960829</v>
      </c>
      <c r="N49" s="530">
        <v>166631488</v>
      </c>
    </row>
    <row r="50" spans="1:14" x14ac:dyDescent="0.3">
      <c r="A50" s="87"/>
      <c r="B50" s="529" t="s">
        <v>124</v>
      </c>
      <c r="C50" s="530">
        <v>17396760</v>
      </c>
      <c r="D50" s="530">
        <v>11767357</v>
      </c>
      <c r="E50" s="530">
        <v>7504618</v>
      </c>
      <c r="F50" s="530">
        <v>5017969</v>
      </c>
      <c r="G50" s="530">
        <v>4279690</v>
      </c>
      <c r="H50" s="530">
        <v>22385292</v>
      </c>
      <c r="I50" s="530">
        <v>1668221</v>
      </c>
      <c r="J50" s="530">
        <v>1832477</v>
      </c>
      <c r="K50" s="530">
        <v>1505407</v>
      </c>
      <c r="L50" s="530">
        <v>960270</v>
      </c>
      <c r="M50" s="530">
        <v>6384266</v>
      </c>
      <c r="N50" s="530">
        <v>80702329</v>
      </c>
    </row>
    <row r="51" spans="1:14" x14ac:dyDescent="0.3">
      <c r="A51" s="87"/>
      <c r="B51" s="526" t="s">
        <v>125</v>
      </c>
      <c r="C51" s="532">
        <v>52346631</v>
      </c>
      <c r="D51" s="532">
        <v>34717449</v>
      </c>
      <c r="E51" s="532">
        <v>21201215</v>
      </c>
      <c r="F51" s="532">
        <v>15202058</v>
      </c>
      <c r="G51" s="532">
        <v>12932417</v>
      </c>
      <c r="H51" s="532">
        <v>75397937</v>
      </c>
      <c r="I51" s="532">
        <v>4731266</v>
      </c>
      <c r="J51" s="532">
        <v>5238105</v>
      </c>
      <c r="K51" s="532">
        <v>4355780</v>
      </c>
      <c r="L51" s="532">
        <v>2865863</v>
      </c>
      <c r="M51" s="532">
        <v>18345096</v>
      </c>
      <c r="N51" s="532">
        <v>247333817</v>
      </c>
    </row>
    <row r="52" spans="1:14" x14ac:dyDescent="0.3">
      <c r="A52" s="87"/>
    </row>
    <row r="53" spans="1:14" x14ac:dyDescent="0.3">
      <c r="A53" s="87"/>
      <c r="B53" s="528" t="s">
        <v>126</v>
      </c>
    </row>
    <row r="54" spans="1:14" x14ac:dyDescent="0.3">
      <c r="A54" s="87"/>
      <c r="B54" s="526" t="s">
        <v>127</v>
      </c>
      <c r="C54" s="530">
        <v>5633333</v>
      </c>
      <c r="D54" s="530">
        <v>5633333</v>
      </c>
      <c r="E54" s="530">
        <v>5633333</v>
      </c>
      <c r="F54" s="530">
        <v>0</v>
      </c>
      <c r="G54" s="530">
        <v>0</v>
      </c>
      <c r="H54" s="530">
        <v>0</v>
      </c>
      <c r="I54" s="530">
        <v>0</v>
      </c>
      <c r="J54" s="530">
        <v>0</v>
      </c>
      <c r="K54" s="530">
        <v>0</v>
      </c>
      <c r="L54" s="530">
        <v>0</v>
      </c>
      <c r="M54" s="530">
        <v>0</v>
      </c>
      <c r="N54" s="530">
        <v>16899999</v>
      </c>
    </row>
    <row r="55" spans="1:14" x14ac:dyDescent="0.3">
      <c r="A55" s="87"/>
      <c r="B55" s="526" t="s">
        <v>128</v>
      </c>
      <c r="C55" s="530">
        <v>750000</v>
      </c>
      <c r="D55" s="530">
        <v>750000</v>
      </c>
      <c r="E55" s="530">
        <v>750000</v>
      </c>
      <c r="F55" s="530">
        <v>750000</v>
      </c>
      <c r="G55" s="530">
        <v>0</v>
      </c>
      <c r="H55" s="530">
        <v>0</v>
      </c>
      <c r="I55" s="530">
        <v>0</v>
      </c>
      <c r="J55" s="530">
        <v>0</v>
      </c>
      <c r="K55" s="530">
        <v>0</v>
      </c>
      <c r="L55" s="530">
        <v>0</v>
      </c>
      <c r="M55" s="530">
        <v>0</v>
      </c>
      <c r="N55" s="530">
        <v>3000000</v>
      </c>
    </row>
    <row r="56" spans="1:14" x14ac:dyDescent="0.3">
      <c r="A56" s="87"/>
      <c r="B56" s="526" t="s">
        <v>188</v>
      </c>
      <c r="C56" s="530">
        <v>2000000</v>
      </c>
      <c r="D56" s="530">
        <v>2000000</v>
      </c>
      <c r="E56" s="530">
        <v>2000000</v>
      </c>
      <c r="F56" s="530">
        <v>2000000</v>
      </c>
      <c r="G56" s="530">
        <v>0</v>
      </c>
      <c r="H56" s="530">
        <v>0</v>
      </c>
      <c r="I56" s="530">
        <v>0</v>
      </c>
      <c r="J56" s="530">
        <v>0</v>
      </c>
      <c r="K56" s="530">
        <v>0</v>
      </c>
      <c r="L56" s="530">
        <v>0</v>
      </c>
      <c r="M56" s="530">
        <v>0</v>
      </c>
      <c r="N56" s="530">
        <v>8000000</v>
      </c>
    </row>
    <row r="57" spans="1:14" x14ac:dyDescent="0.3">
      <c r="A57" s="87"/>
      <c r="B57" s="526" t="s">
        <v>405</v>
      </c>
      <c r="C57" s="530">
        <v>25000</v>
      </c>
      <c r="D57" s="530">
        <v>25500</v>
      </c>
      <c r="E57" s="530">
        <v>26010</v>
      </c>
      <c r="F57" s="530">
        <v>26530</v>
      </c>
      <c r="G57" s="530">
        <v>27061</v>
      </c>
      <c r="H57" s="530">
        <v>27602</v>
      </c>
      <c r="I57" s="530">
        <v>28154</v>
      </c>
      <c r="J57" s="530">
        <v>28717</v>
      </c>
      <c r="K57" s="530">
        <v>29291</v>
      </c>
      <c r="L57" s="530">
        <v>29877</v>
      </c>
      <c r="M57" s="530">
        <v>30475</v>
      </c>
      <c r="N57" s="530">
        <v>304218</v>
      </c>
    </row>
    <row r="58" spans="1:14" x14ac:dyDescent="0.3">
      <c r="A58" s="87"/>
      <c r="B58" s="526" t="s">
        <v>130</v>
      </c>
      <c r="C58" s="530">
        <v>2200000</v>
      </c>
      <c r="D58" s="530">
        <v>2200000</v>
      </c>
      <c r="E58" s="530">
        <v>2200000</v>
      </c>
      <c r="F58" s="530">
        <v>2200000</v>
      </c>
      <c r="G58" s="530">
        <v>2200000</v>
      </c>
      <c r="H58" s="530">
        <v>0</v>
      </c>
      <c r="I58" s="530">
        <v>0</v>
      </c>
      <c r="J58" s="530">
        <v>0</v>
      </c>
      <c r="K58" s="530">
        <v>0</v>
      </c>
      <c r="L58" s="530">
        <v>0</v>
      </c>
      <c r="M58" s="530">
        <v>0</v>
      </c>
      <c r="N58" s="530">
        <v>11000000</v>
      </c>
    </row>
    <row r="59" spans="1:14" x14ac:dyDescent="0.3">
      <c r="A59" s="87"/>
      <c r="B59" s="526" t="s">
        <v>131</v>
      </c>
      <c r="C59" s="532">
        <v>10608333</v>
      </c>
      <c r="D59" s="532">
        <v>10608833</v>
      </c>
      <c r="E59" s="532">
        <v>10609343</v>
      </c>
      <c r="F59" s="532">
        <v>4976530</v>
      </c>
      <c r="G59" s="532">
        <v>2227061</v>
      </c>
      <c r="H59" s="532">
        <v>27602</v>
      </c>
      <c r="I59" s="532">
        <v>28154</v>
      </c>
      <c r="J59" s="532">
        <v>28717</v>
      </c>
      <c r="K59" s="532">
        <v>29291</v>
      </c>
      <c r="L59" s="532">
        <v>29877</v>
      </c>
      <c r="M59" s="532">
        <v>30475</v>
      </c>
      <c r="N59" s="532">
        <v>39204217</v>
      </c>
    </row>
    <row r="60" spans="1:14" x14ac:dyDescent="0.3">
      <c r="A60" s="87"/>
    </row>
    <row r="61" spans="1:14" x14ac:dyDescent="0.3">
      <c r="A61" s="87"/>
      <c r="B61" s="526" t="s">
        <v>132</v>
      </c>
      <c r="C61" s="533">
        <v>62954964</v>
      </c>
      <c r="D61" s="533">
        <v>45326282</v>
      </c>
      <c r="E61" s="533">
        <v>31810558</v>
      </c>
      <c r="F61" s="533">
        <v>20178588</v>
      </c>
      <c r="G61" s="533">
        <v>15159478</v>
      </c>
      <c r="H61" s="533">
        <v>75425539</v>
      </c>
      <c r="I61" s="533">
        <v>4759420</v>
      </c>
      <c r="J61" s="533">
        <v>5266822</v>
      </c>
      <c r="K61" s="533">
        <v>4385071</v>
      </c>
      <c r="L61" s="533">
        <v>2895740</v>
      </c>
      <c r="M61" s="533">
        <v>18375570</v>
      </c>
      <c r="N61" s="533">
        <v>286538033</v>
      </c>
    </row>
    <row r="62" spans="1:14" x14ac:dyDescent="0.3">
      <c r="A62" s="87"/>
    </row>
    <row r="63" spans="1:14" x14ac:dyDescent="0.3">
      <c r="A63" s="87"/>
      <c r="B63" s="526" t="s">
        <v>133</v>
      </c>
      <c r="C63" s="533">
        <v>24293582</v>
      </c>
      <c r="D63" s="533">
        <v>46326240</v>
      </c>
      <c r="E63" s="533">
        <v>63946065</v>
      </c>
      <c r="F63" s="533">
        <v>78148210</v>
      </c>
      <c r="G63" s="533">
        <v>81287074</v>
      </c>
      <c r="H63" s="533">
        <v>-4334726</v>
      </c>
      <c r="I63" s="533">
        <v>75952234</v>
      </c>
      <c r="J63" s="533">
        <v>76959342</v>
      </c>
      <c r="K63" s="533">
        <v>78602092</v>
      </c>
      <c r="L63" s="533">
        <v>82565590</v>
      </c>
      <c r="M63" s="533">
        <v>67106682</v>
      </c>
      <c r="N63" s="533">
        <v>670852386</v>
      </c>
    </row>
    <row r="64" spans="1:14" x14ac:dyDescent="0.3">
      <c r="A64" s="87"/>
    </row>
    <row r="65" spans="1:14" ht="15" thickBot="1" x14ac:dyDescent="0.35">
      <c r="A65" s="87"/>
      <c r="B65" s="526" t="s">
        <v>134</v>
      </c>
      <c r="C65" s="549">
        <v>24293582</v>
      </c>
      <c r="D65" s="549">
        <v>46326240</v>
      </c>
      <c r="E65" s="549">
        <v>63946065</v>
      </c>
      <c r="F65" s="549">
        <v>78148210</v>
      </c>
      <c r="G65" s="549">
        <v>81287074</v>
      </c>
      <c r="H65" s="549">
        <v>-4334726</v>
      </c>
      <c r="I65" s="549">
        <v>75952234</v>
      </c>
      <c r="J65" s="549">
        <v>76959342</v>
      </c>
      <c r="K65" s="549">
        <v>78602092</v>
      </c>
      <c r="L65" s="549">
        <v>82565590</v>
      </c>
      <c r="M65" s="549">
        <v>67106682</v>
      </c>
      <c r="N65" s="549">
        <v>670852386</v>
      </c>
    </row>
    <row r="66" spans="1:14" ht="15" thickBot="1" x14ac:dyDescent="0.35">
      <c r="A66" s="87"/>
      <c r="C66" s="549"/>
      <c r="D66" s="549"/>
      <c r="E66" s="549"/>
      <c r="F66" s="549"/>
      <c r="G66" s="549"/>
      <c r="H66" s="549"/>
      <c r="I66" s="549"/>
      <c r="J66" s="549"/>
      <c r="K66" s="549"/>
      <c r="L66" s="549"/>
      <c r="M66" s="549"/>
      <c r="N66" s="549"/>
    </row>
    <row r="67" spans="1:14" x14ac:dyDescent="0.3">
      <c r="A67" s="87"/>
    </row>
    <row r="68" spans="1:14" x14ac:dyDescent="0.3">
      <c r="A68" s="87"/>
      <c r="B68" s="528" t="s">
        <v>189</v>
      </c>
    </row>
    <row r="69" spans="1:14" x14ac:dyDescent="0.3">
      <c r="A69" s="87"/>
      <c r="B69" s="529" t="s">
        <v>190</v>
      </c>
      <c r="C69" s="530">
        <v>2483380</v>
      </c>
      <c r="D69" s="530">
        <v>2575877</v>
      </c>
      <c r="E69" s="530">
        <v>2726587</v>
      </c>
      <c r="F69" s="530">
        <v>2740715</v>
      </c>
      <c r="G69" s="530">
        <v>2701929</v>
      </c>
      <c r="H69" s="530">
        <v>2552126</v>
      </c>
      <c r="I69" s="530">
        <v>2785902</v>
      </c>
      <c r="J69" s="530">
        <v>2788703</v>
      </c>
      <c r="K69" s="530">
        <v>2787256</v>
      </c>
      <c r="L69" s="530">
        <v>2797604</v>
      </c>
      <c r="M69" s="530">
        <v>2705937</v>
      </c>
      <c r="N69" s="526" t="s">
        <v>406</v>
      </c>
    </row>
    <row r="70" spans="1:14" x14ac:dyDescent="0.3">
      <c r="A70" s="87"/>
      <c r="B70" s="529" t="s">
        <v>191</v>
      </c>
      <c r="C70" s="530">
        <v>325187</v>
      </c>
      <c r="D70" s="530">
        <v>232690</v>
      </c>
      <c r="E70" s="530">
        <v>81980</v>
      </c>
      <c r="F70" s="530">
        <v>67852</v>
      </c>
      <c r="G70" s="530">
        <v>106638</v>
      </c>
      <c r="H70" s="530">
        <v>256441</v>
      </c>
      <c r="I70" s="530">
        <v>22665</v>
      </c>
      <c r="J70" s="530">
        <v>19864</v>
      </c>
      <c r="K70" s="530">
        <v>21311</v>
      </c>
      <c r="L70" s="530">
        <v>10963</v>
      </c>
      <c r="M70" s="530">
        <v>102630</v>
      </c>
      <c r="N70" s="526" t="s">
        <v>406</v>
      </c>
    </row>
    <row r="71" spans="1:14" x14ac:dyDescent="0.3">
      <c r="A71" s="87"/>
      <c r="B71" s="529" t="s">
        <v>192</v>
      </c>
      <c r="C71" s="530">
        <v>2483380</v>
      </c>
      <c r="D71" s="530">
        <v>2575877</v>
      </c>
      <c r="E71" s="530">
        <v>2726587</v>
      </c>
      <c r="F71" s="530">
        <v>2740715</v>
      </c>
      <c r="G71" s="530">
        <v>2701929</v>
      </c>
      <c r="H71" s="530">
        <v>2552126</v>
      </c>
      <c r="I71" s="530">
        <v>2785902</v>
      </c>
      <c r="J71" s="530">
        <v>2788703</v>
      </c>
      <c r="K71" s="530">
        <v>2787256</v>
      </c>
      <c r="L71" s="530">
        <v>2797604</v>
      </c>
      <c r="M71" s="530">
        <v>2705937</v>
      </c>
      <c r="N71" s="526" t="s">
        <v>406</v>
      </c>
    </row>
    <row r="72" spans="1:14" x14ac:dyDescent="0.3">
      <c r="A72" s="87"/>
      <c r="B72" s="529" t="s">
        <v>193</v>
      </c>
      <c r="C72" s="530">
        <v>2808567</v>
      </c>
      <c r="D72" s="530">
        <v>2808567</v>
      </c>
      <c r="E72" s="530">
        <v>2808567</v>
      </c>
      <c r="F72" s="530">
        <v>2808567</v>
      </c>
      <c r="G72" s="530">
        <v>2808567</v>
      </c>
      <c r="H72" s="530">
        <v>2808567</v>
      </c>
      <c r="I72" s="530">
        <v>2808567</v>
      </c>
      <c r="J72" s="530">
        <v>2808567</v>
      </c>
      <c r="K72" s="530">
        <v>2808567</v>
      </c>
      <c r="L72" s="530">
        <v>2808567</v>
      </c>
      <c r="M72" s="530">
        <v>2808567</v>
      </c>
      <c r="N72" s="526" t="s">
        <v>406</v>
      </c>
    </row>
    <row r="73" spans="1:14" x14ac:dyDescent="0.3">
      <c r="A73" s="87" t="s">
        <v>210</v>
      </c>
      <c r="B73" s="529" t="s">
        <v>194</v>
      </c>
      <c r="C73" s="534">
        <v>0.88421604327046499</v>
      </c>
      <c r="D73" s="534">
        <v>0.91714992022622199</v>
      </c>
      <c r="E73" s="534">
        <v>0.97081073729058298</v>
      </c>
      <c r="F73" s="534">
        <v>0.975840971570199</v>
      </c>
      <c r="G73" s="534">
        <v>0.962031111714028</v>
      </c>
      <c r="H73" s="534">
        <v>0.90869332415190096</v>
      </c>
      <c r="I73" s="534">
        <v>0.991930048312894</v>
      </c>
      <c r="J73" s="534">
        <v>0.99292729471411301</v>
      </c>
      <c r="K73" s="534">
        <v>0.99241205568533697</v>
      </c>
      <c r="L73" s="534">
        <v>0.99609649689681601</v>
      </c>
      <c r="M73" s="534">
        <v>0.96345829266906102</v>
      </c>
      <c r="N73" s="526" t="s">
        <v>406</v>
      </c>
    </row>
    <row r="74" spans="1:14" x14ac:dyDescent="0.3">
      <c r="A74" s="87"/>
    </row>
    <row r="75" spans="1:14" x14ac:dyDescent="0.3">
      <c r="A75" s="87"/>
    </row>
    <row r="76" spans="1:14" x14ac:dyDescent="0.3">
      <c r="A76" s="87"/>
    </row>
    <row r="77" spans="1:14" x14ac:dyDescent="0.3">
      <c r="A77" s="87"/>
    </row>
    <row r="78" spans="1:14" x14ac:dyDescent="0.3">
      <c r="A78" s="87"/>
    </row>
    <row r="79" spans="1:14" x14ac:dyDescent="0.3">
      <c r="A79" s="87"/>
    </row>
    <row r="80" spans="1:14" x14ac:dyDescent="0.3">
      <c r="A80" s="87"/>
    </row>
    <row r="81" spans="1:1" x14ac:dyDescent="0.3">
      <c r="A81" s="87"/>
    </row>
    <row r="82" spans="1:1" x14ac:dyDescent="0.3">
      <c r="A82" s="87"/>
    </row>
    <row r="83" spans="1:1" x14ac:dyDescent="0.3">
      <c r="A83" s="87"/>
    </row>
    <row r="84" spans="1:1" x14ac:dyDescent="0.3">
      <c r="A84" s="87"/>
    </row>
    <row r="85" spans="1:1" x14ac:dyDescent="0.3">
      <c r="A85" s="88"/>
    </row>
    <row r="86" spans="1:1" x14ac:dyDescent="0.3">
      <c r="A86" s="177"/>
    </row>
    <row r="87" spans="1:1" x14ac:dyDescent="0.3">
      <c r="A87" s="177"/>
    </row>
    <row r="88" spans="1:1" x14ac:dyDescent="0.3">
      <c r="A88" s="177"/>
    </row>
    <row r="89" spans="1:1" x14ac:dyDescent="0.3">
      <c r="A89" s="177"/>
    </row>
    <row r="90" spans="1:1" x14ac:dyDescent="0.3">
      <c r="A90" s="177"/>
    </row>
    <row r="91" spans="1:1" x14ac:dyDescent="0.3">
      <c r="A91" s="177"/>
    </row>
    <row r="92" spans="1:1" x14ac:dyDescent="0.3">
      <c r="A92" s="177"/>
    </row>
    <row r="93" spans="1:1" x14ac:dyDescent="0.3">
      <c r="A93" s="177"/>
    </row>
    <row r="94" spans="1:1" x14ac:dyDescent="0.3">
      <c r="A94" s="177"/>
    </row>
    <row r="95" spans="1:1" x14ac:dyDescent="0.3">
      <c r="A95" s="177"/>
    </row>
    <row r="96" spans="1:1" x14ac:dyDescent="0.3">
      <c r="A96" s="177"/>
    </row>
    <row r="97" spans="1:1" x14ac:dyDescent="0.3">
      <c r="A97" s="177"/>
    </row>
    <row r="98" spans="1:1" x14ac:dyDescent="0.3">
      <c r="A98" s="177"/>
    </row>
    <row r="99" spans="1:1" x14ac:dyDescent="0.3">
      <c r="A99" s="177"/>
    </row>
    <row r="100" spans="1:1" x14ac:dyDescent="0.3">
      <c r="A100" s="177"/>
    </row>
    <row r="101" spans="1:1" x14ac:dyDescent="0.3">
      <c r="A101" s="177"/>
    </row>
    <row r="102" spans="1:1" x14ac:dyDescent="0.3">
      <c r="A102" s="177"/>
    </row>
    <row r="103" spans="1:1" x14ac:dyDescent="0.3">
      <c r="A103" s="177"/>
    </row>
    <row r="104" spans="1:1" x14ac:dyDescent="0.3">
      <c r="A104" s="177"/>
    </row>
    <row r="105" spans="1:1" x14ac:dyDescent="0.3">
      <c r="A105" s="177"/>
    </row>
    <row r="106" spans="1:1" x14ac:dyDescent="0.3">
      <c r="A106" s="177"/>
    </row>
    <row r="107" spans="1:1" x14ac:dyDescent="0.3">
      <c r="A107" s="177"/>
    </row>
    <row r="108" spans="1:1" x14ac:dyDescent="0.3">
      <c r="A108" s="177"/>
    </row>
    <row r="109" spans="1:1" x14ac:dyDescent="0.3">
      <c r="A109" s="177"/>
    </row>
    <row r="110" spans="1:1" x14ac:dyDescent="0.3">
      <c r="A110" s="177"/>
    </row>
    <row r="111" spans="1:1" x14ac:dyDescent="0.3">
      <c r="A111" s="177"/>
    </row>
    <row r="112" spans="1:1" x14ac:dyDescent="0.3">
      <c r="A112" s="177"/>
    </row>
    <row r="113" spans="1:1" x14ac:dyDescent="0.3">
      <c r="A113" s="177"/>
    </row>
    <row r="114" spans="1:1" x14ac:dyDescent="0.3">
      <c r="A114" s="177"/>
    </row>
    <row r="115" spans="1:1" x14ac:dyDescent="0.3">
      <c r="A115" s="177"/>
    </row>
    <row r="116" spans="1:1" x14ac:dyDescent="0.3">
      <c r="A116" s="177"/>
    </row>
    <row r="117" spans="1:1" x14ac:dyDescent="0.3">
      <c r="A117" s="177"/>
    </row>
    <row r="118" spans="1:1" x14ac:dyDescent="0.3">
      <c r="A118" s="177"/>
    </row>
    <row r="119" spans="1:1" x14ac:dyDescent="0.3">
      <c r="A119" s="177"/>
    </row>
    <row r="120" spans="1:1" x14ac:dyDescent="0.3">
      <c r="A120" s="177"/>
    </row>
    <row r="121" spans="1:1" x14ac:dyDescent="0.3">
      <c r="A121" s="177"/>
    </row>
    <row r="122" spans="1:1" x14ac:dyDescent="0.3">
      <c r="A122" s="177"/>
    </row>
    <row r="123" spans="1:1" x14ac:dyDescent="0.3">
      <c r="A123" s="177"/>
    </row>
    <row r="124" spans="1:1" x14ac:dyDescent="0.3">
      <c r="A124" s="177"/>
    </row>
    <row r="125" spans="1:1" x14ac:dyDescent="0.3">
      <c r="A125" s="177"/>
    </row>
    <row r="126" spans="1:1" x14ac:dyDescent="0.3">
      <c r="A126" s="177"/>
    </row>
    <row r="127" spans="1:1" x14ac:dyDescent="0.3">
      <c r="A127" s="177"/>
    </row>
    <row r="128" spans="1:1" x14ac:dyDescent="0.3">
      <c r="A128" s="177"/>
    </row>
    <row r="129" spans="1:1" x14ac:dyDescent="0.3">
      <c r="A129" s="177"/>
    </row>
  </sheetData>
  <mergeCells count="17">
    <mergeCell ref="M65:M66"/>
    <mergeCell ref="N65:N66"/>
    <mergeCell ref="H65:H66"/>
    <mergeCell ref="I65:I66"/>
    <mergeCell ref="J65:J66"/>
    <mergeCell ref="K65:K66"/>
    <mergeCell ref="L65:L66"/>
    <mergeCell ref="C65:C66"/>
    <mergeCell ref="D65:D66"/>
    <mergeCell ref="E65:E66"/>
    <mergeCell ref="F65:F66"/>
    <mergeCell ref="G65:G66"/>
    <mergeCell ref="A12:A17"/>
    <mergeCell ref="B2:I2"/>
    <mergeCell ref="B3:I3"/>
    <mergeCell ref="B4:I4"/>
    <mergeCell ref="B5:I5"/>
  </mergeCells>
  <dataValidations count="1">
    <dataValidation type="list" allowBlank="1" showInputMessage="1" showErrorMessage="1" sqref="A4:A11" xr:uid="{46EE29B4-C5DB-4890-9977-C3182F8A4254}">
      <formula1>"CAM,REAL ESTATE TAXES,UTILITES,INSURANCE,MGMT FEE"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B88AFE5-1717-471F-9611-47F10483FB13}">
          <x14:formula1>
            <xm:f>CONFIG!$A$5:$A$17</xm:f>
          </x14:formula1>
          <xm:sqref>A18:A143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944D-79AA-4291-88DD-40F9B923C483}">
  <sheetPr>
    <tabColor rgb="FF0070C0"/>
  </sheetPr>
  <dimension ref="A1:W929"/>
  <sheetViews>
    <sheetView showGridLines="0" topLeftCell="A191" workbookViewId="0">
      <selection activeCell="B4" sqref="B4:F4"/>
    </sheetView>
  </sheetViews>
  <sheetFormatPr defaultRowHeight="14.4" x14ac:dyDescent="0.3"/>
  <cols>
    <col min="1" max="1" width="21.44140625" style="176" bestFit="1" customWidth="1"/>
    <col min="2" max="2" width="30.6640625" bestFit="1" customWidth="1"/>
    <col min="3" max="3" width="11.109375" bestFit="1" customWidth="1"/>
    <col min="4" max="4" width="10.109375" bestFit="1" customWidth="1"/>
    <col min="5" max="5" width="11.44140625" bestFit="1" customWidth="1"/>
    <col min="6" max="6" width="12.44140625" bestFit="1" customWidth="1"/>
    <col min="7" max="7" width="8.88671875" bestFit="1" customWidth="1"/>
    <col min="8" max="8" width="9.44140625" bestFit="1" customWidth="1"/>
    <col min="9" max="9" width="9" bestFit="1" customWidth="1"/>
    <col min="10" max="10" width="10.88671875" bestFit="1" customWidth="1"/>
    <col min="11" max="11" width="12.6640625" bestFit="1" customWidth="1"/>
    <col min="12" max="12" width="8.88671875" bestFit="1" customWidth="1"/>
    <col min="13" max="13" width="10.88671875" bestFit="1" customWidth="1"/>
    <col min="14" max="14" width="12.33203125" bestFit="1" customWidth="1"/>
    <col min="15" max="15" width="9" bestFit="1" customWidth="1"/>
    <col min="16" max="16" width="10.33203125" bestFit="1" customWidth="1"/>
    <col min="17" max="17" width="10" bestFit="1" customWidth="1"/>
    <col min="18" max="19" width="13.33203125" bestFit="1" customWidth="1"/>
    <col min="20" max="20" width="11.5546875" bestFit="1" customWidth="1"/>
    <col min="21" max="21" width="9.5546875" bestFit="1" customWidth="1"/>
    <col min="22" max="22" width="10.88671875" bestFit="1" customWidth="1"/>
  </cols>
  <sheetData>
    <row r="1" spans="1:23" ht="15" customHeight="1" x14ac:dyDescent="0.3">
      <c r="A1" s="84" t="s">
        <v>178</v>
      </c>
      <c r="B1" s="547" t="s">
        <v>927</v>
      </c>
      <c r="C1" s="547"/>
      <c r="D1" s="547"/>
      <c r="E1" s="547"/>
      <c r="F1" s="547"/>
    </row>
    <row r="2" spans="1:23" ht="15" customHeight="1" x14ac:dyDescent="0.3">
      <c r="A2" s="176">
        <f t="shared" ref="A2:A11" si="0">IF(E2="Contract",1,0)</f>
        <v>0</v>
      </c>
      <c r="B2" s="548" t="s">
        <v>940</v>
      </c>
      <c r="C2" s="548"/>
      <c r="D2" s="548"/>
      <c r="E2" s="548"/>
      <c r="F2" s="548"/>
    </row>
    <row r="3" spans="1:23" ht="15" customHeight="1" x14ac:dyDescent="0.3">
      <c r="A3" s="176">
        <f t="shared" si="0"/>
        <v>0</v>
      </c>
      <c r="B3" s="548" t="s">
        <v>928</v>
      </c>
      <c r="C3" s="548"/>
      <c r="D3" s="548"/>
      <c r="E3" s="548"/>
      <c r="F3" s="548"/>
    </row>
    <row r="4" spans="1:23" ht="15" customHeight="1" x14ac:dyDescent="0.3">
      <c r="A4" s="176">
        <f t="shared" si="0"/>
        <v>0</v>
      </c>
      <c r="B4" s="548" t="s">
        <v>929</v>
      </c>
      <c r="C4" s="548"/>
      <c r="D4" s="548"/>
      <c r="E4" s="548"/>
      <c r="F4" s="548"/>
    </row>
    <row r="5" spans="1:23" ht="15" customHeight="1" x14ac:dyDescent="0.3">
      <c r="A5" s="176">
        <f t="shared" si="0"/>
        <v>0</v>
      </c>
      <c r="B5" s="548" t="s">
        <v>942</v>
      </c>
      <c r="C5" s="548"/>
      <c r="D5" s="548"/>
      <c r="E5" s="548"/>
      <c r="F5" s="548"/>
    </row>
    <row r="6" spans="1:23" ht="15" customHeight="1" x14ac:dyDescent="0.3">
      <c r="A6" s="176">
        <f t="shared" si="0"/>
        <v>0</v>
      </c>
    </row>
    <row r="7" spans="1:23" ht="15" customHeight="1" x14ac:dyDescent="0.3">
      <c r="A7" s="176">
        <f t="shared" si="0"/>
        <v>0</v>
      </c>
      <c r="I7" s="535" t="s">
        <v>407</v>
      </c>
      <c r="J7" s="535" t="s">
        <v>407</v>
      </c>
      <c r="K7" s="535" t="s">
        <v>408</v>
      </c>
      <c r="L7" s="535" t="s">
        <v>409</v>
      </c>
      <c r="M7" s="535" t="s">
        <v>410</v>
      </c>
      <c r="N7" s="535" t="s">
        <v>411</v>
      </c>
      <c r="O7" s="535" t="s">
        <v>412</v>
      </c>
      <c r="P7" s="535" t="s">
        <v>413</v>
      </c>
      <c r="Q7" s="535" t="s">
        <v>414</v>
      </c>
      <c r="R7" s="535" t="s">
        <v>415</v>
      </c>
      <c r="S7" s="535" t="s">
        <v>408</v>
      </c>
      <c r="T7" s="535" t="s">
        <v>416</v>
      </c>
      <c r="U7" s="535" t="s">
        <v>417</v>
      </c>
      <c r="V7" s="535" t="s">
        <v>416</v>
      </c>
      <c r="W7" s="535" t="s">
        <v>418</v>
      </c>
    </row>
    <row r="8" spans="1:23" ht="20.399999999999999" x14ac:dyDescent="0.3">
      <c r="A8" s="176">
        <f t="shared" si="0"/>
        <v>0</v>
      </c>
      <c r="B8" s="536" t="s">
        <v>419</v>
      </c>
      <c r="C8" s="536" t="s">
        <v>420</v>
      </c>
      <c r="D8" s="536" t="s">
        <v>421</v>
      </c>
      <c r="E8" s="536" t="s">
        <v>422</v>
      </c>
      <c r="F8" s="536" t="s">
        <v>423</v>
      </c>
      <c r="G8" s="536" t="s">
        <v>424</v>
      </c>
      <c r="H8" s="537" t="s">
        <v>425</v>
      </c>
      <c r="I8" s="537" t="s">
        <v>426</v>
      </c>
      <c r="J8" s="537" t="s">
        <v>427</v>
      </c>
      <c r="K8" s="537" t="s">
        <v>428</v>
      </c>
      <c r="L8" s="537" t="s">
        <v>429</v>
      </c>
      <c r="M8" s="537" t="s">
        <v>42</v>
      </c>
      <c r="N8" s="537" t="s">
        <v>428</v>
      </c>
      <c r="O8" s="537" t="s">
        <v>42</v>
      </c>
      <c r="P8" s="537" t="s">
        <v>430</v>
      </c>
      <c r="Q8" s="537" t="s">
        <v>42</v>
      </c>
      <c r="R8" s="537" t="s">
        <v>431</v>
      </c>
      <c r="S8" s="537" t="s">
        <v>432</v>
      </c>
      <c r="T8" s="537" t="s">
        <v>433</v>
      </c>
      <c r="U8" s="537" t="s">
        <v>434</v>
      </c>
      <c r="V8" s="537" t="s">
        <v>435</v>
      </c>
      <c r="W8" s="537" t="s">
        <v>168</v>
      </c>
    </row>
    <row r="9" spans="1:23" x14ac:dyDescent="0.3">
      <c r="A9" s="176">
        <f t="shared" si="0"/>
        <v>0</v>
      </c>
    </row>
    <row r="10" spans="1:23" x14ac:dyDescent="0.3">
      <c r="A10" s="176">
        <f t="shared" si="0"/>
        <v>1</v>
      </c>
      <c r="B10" s="526" t="s">
        <v>436</v>
      </c>
      <c r="C10" s="526" t="s">
        <v>437</v>
      </c>
      <c r="D10" s="526" t="s">
        <v>438</v>
      </c>
      <c r="E10" s="526" t="s">
        <v>439</v>
      </c>
      <c r="H10" s="530">
        <v>1350</v>
      </c>
      <c r="I10" s="525" t="s">
        <v>440</v>
      </c>
      <c r="J10" s="525" t="s">
        <v>441</v>
      </c>
      <c r="K10" s="530">
        <v>70878</v>
      </c>
      <c r="L10" s="530">
        <v>0</v>
      </c>
      <c r="M10" s="530">
        <v>0</v>
      </c>
      <c r="N10" s="530">
        <v>70878</v>
      </c>
      <c r="O10" s="530">
        <v>0</v>
      </c>
      <c r="P10" s="530">
        <v>0</v>
      </c>
      <c r="Q10" s="530">
        <v>0</v>
      </c>
      <c r="R10" s="530">
        <v>5358</v>
      </c>
      <c r="S10" s="530">
        <v>76236</v>
      </c>
      <c r="T10" s="530">
        <v>0</v>
      </c>
      <c r="U10" s="530">
        <v>0</v>
      </c>
      <c r="V10" s="530">
        <v>0</v>
      </c>
      <c r="W10" s="530">
        <v>76236</v>
      </c>
    </row>
    <row r="11" spans="1:23" x14ac:dyDescent="0.3">
      <c r="A11" s="176">
        <f t="shared" si="0"/>
        <v>1</v>
      </c>
      <c r="B11" s="526" t="s">
        <v>442</v>
      </c>
      <c r="C11" s="526" t="s">
        <v>443</v>
      </c>
      <c r="D11" s="526" t="s">
        <v>438</v>
      </c>
      <c r="E11" s="526" t="s">
        <v>439</v>
      </c>
      <c r="H11" s="530">
        <v>1463</v>
      </c>
      <c r="I11" s="525" t="s">
        <v>444</v>
      </c>
      <c r="J11" s="525" t="s">
        <v>445</v>
      </c>
      <c r="K11" s="530">
        <v>65887</v>
      </c>
      <c r="L11" s="530">
        <v>0</v>
      </c>
      <c r="M11" s="530">
        <v>0</v>
      </c>
      <c r="N11" s="530">
        <v>65887</v>
      </c>
      <c r="O11" s="530">
        <v>0</v>
      </c>
      <c r="P11" s="530">
        <v>0</v>
      </c>
      <c r="Q11" s="530">
        <v>0</v>
      </c>
      <c r="R11" s="530">
        <v>5807</v>
      </c>
      <c r="S11" s="530">
        <v>71694</v>
      </c>
      <c r="T11" s="530">
        <v>0</v>
      </c>
      <c r="U11" s="530">
        <v>0</v>
      </c>
      <c r="V11" s="530">
        <v>0</v>
      </c>
      <c r="W11" s="530">
        <v>71694</v>
      </c>
    </row>
    <row r="12" spans="1:23" x14ac:dyDescent="0.3">
      <c r="A12" s="176">
        <f>IF(E12="Contract",1,0)</f>
        <v>1</v>
      </c>
      <c r="B12" s="526" t="s">
        <v>446</v>
      </c>
      <c r="C12" s="526" t="s">
        <v>447</v>
      </c>
      <c r="D12" s="526" t="s">
        <v>438</v>
      </c>
      <c r="E12" s="526" t="s">
        <v>439</v>
      </c>
      <c r="H12" s="530">
        <v>10076</v>
      </c>
      <c r="I12" s="525" t="s">
        <v>448</v>
      </c>
      <c r="J12" s="525" t="s">
        <v>449</v>
      </c>
      <c r="K12" s="530">
        <v>241824</v>
      </c>
      <c r="L12" s="530">
        <v>0</v>
      </c>
      <c r="M12" s="530">
        <v>40304</v>
      </c>
      <c r="N12" s="530">
        <v>201520</v>
      </c>
      <c r="O12" s="530">
        <v>0</v>
      </c>
      <c r="P12" s="530">
        <v>0</v>
      </c>
      <c r="Q12" s="530">
        <v>0</v>
      </c>
      <c r="R12" s="530">
        <v>0</v>
      </c>
      <c r="S12" s="530">
        <v>201520</v>
      </c>
      <c r="T12" s="530">
        <v>856460</v>
      </c>
      <c r="U12" s="530">
        <v>473343</v>
      </c>
      <c r="V12" s="530">
        <v>0</v>
      </c>
      <c r="W12" s="530">
        <v>-1128283</v>
      </c>
    </row>
    <row r="13" spans="1:23" x14ac:dyDescent="0.3">
      <c r="A13" s="176">
        <f t="shared" ref="A13:A76" si="1">IF(E13="Contract",1,0)</f>
        <v>1</v>
      </c>
      <c r="B13" s="526" t="s">
        <v>450</v>
      </c>
      <c r="C13" s="526" t="s">
        <v>451</v>
      </c>
      <c r="D13" s="526" t="s">
        <v>438</v>
      </c>
      <c r="E13" s="526" t="s">
        <v>439</v>
      </c>
      <c r="H13" s="530">
        <v>3851</v>
      </c>
      <c r="I13" s="525" t="s">
        <v>452</v>
      </c>
      <c r="J13" s="525" t="s">
        <v>453</v>
      </c>
      <c r="K13" s="530">
        <v>172408</v>
      </c>
      <c r="L13" s="530">
        <v>0</v>
      </c>
      <c r="M13" s="530">
        <v>0</v>
      </c>
      <c r="N13" s="530">
        <v>172408</v>
      </c>
      <c r="O13" s="530">
        <v>0</v>
      </c>
      <c r="P13" s="530">
        <v>0</v>
      </c>
      <c r="Q13" s="530">
        <v>0</v>
      </c>
      <c r="R13" s="530">
        <v>34540</v>
      </c>
      <c r="S13" s="530">
        <v>206948</v>
      </c>
      <c r="T13" s="530">
        <v>0</v>
      </c>
      <c r="U13" s="530">
        <v>0</v>
      </c>
      <c r="V13" s="530">
        <v>0</v>
      </c>
      <c r="W13" s="530">
        <v>206948</v>
      </c>
    </row>
    <row r="14" spans="1:23" x14ac:dyDescent="0.3">
      <c r="A14" s="176">
        <f t="shared" si="1"/>
        <v>1</v>
      </c>
      <c r="B14" s="526" t="s">
        <v>454</v>
      </c>
      <c r="C14" s="526" t="s">
        <v>455</v>
      </c>
      <c r="D14" s="526" t="s">
        <v>438</v>
      </c>
      <c r="E14" s="526" t="s">
        <v>439</v>
      </c>
      <c r="H14" s="530">
        <v>4588</v>
      </c>
      <c r="I14" s="525" t="s">
        <v>456</v>
      </c>
      <c r="J14" s="525" t="s">
        <v>457</v>
      </c>
      <c r="K14" s="530">
        <v>192369</v>
      </c>
      <c r="L14" s="530">
        <v>0</v>
      </c>
      <c r="M14" s="530">
        <v>0</v>
      </c>
      <c r="N14" s="530">
        <v>192369</v>
      </c>
      <c r="O14" s="530">
        <v>0</v>
      </c>
      <c r="P14" s="530">
        <v>0</v>
      </c>
      <c r="Q14" s="530">
        <v>0</v>
      </c>
      <c r="R14" s="530">
        <v>41150</v>
      </c>
      <c r="S14" s="530">
        <v>233519</v>
      </c>
      <c r="T14" s="530">
        <v>0</v>
      </c>
      <c r="U14" s="530">
        <v>0</v>
      </c>
      <c r="V14" s="530">
        <v>0</v>
      </c>
      <c r="W14" s="530">
        <v>233519</v>
      </c>
    </row>
    <row r="15" spans="1:23" x14ac:dyDescent="0.3">
      <c r="A15" s="176">
        <f t="shared" si="1"/>
        <v>1</v>
      </c>
      <c r="B15" s="526" t="s">
        <v>458</v>
      </c>
      <c r="C15" s="526" t="s">
        <v>443</v>
      </c>
      <c r="D15" s="526" t="s">
        <v>438</v>
      </c>
      <c r="E15" s="526" t="s">
        <v>439</v>
      </c>
      <c r="H15" s="530">
        <v>1794</v>
      </c>
      <c r="I15" s="525" t="s">
        <v>459</v>
      </c>
      <c r="J15" s="525" t="s">
        <v>460</v>
      </c>
      <c r="K15" s="530">
        <v>80450</v>
      </c>
      <c r="L15" s="530">
        <v>0</v>
      </c>
      <c r="M15" s="530">
        <v>0</v>
      </c>
      <c r="N15" s="530">
        <v>80450</v>
      </c>
      <c r="O15" s="530">
        <v>0</v>
      </c>
      <c r="P15" s="530">
        <v>0</v>
      </c>
      <c r="Q15" s="530">
        <v>0</v>
      </c>
      <c r="R15" s="530">
        <v>10709</v>
      </c>
      <c r="S15" s="530">
        <v>91159</v>
      </c>
      <c r="T15" s="530">
        <v>0</v>
      </c>
      <c r="U15" s="530">
        <v>0</v>
      </c>
      <c r="V15" s="530">
        <v>0</v>
      </c>
      <c r="W15" s="530">
        <v>91159</v>
      </c>
    </row>
    <row r="16" spans="1:23" x14ac:dyDescent="0.3">
      <c r="A16" s="176">
        <f t="shared" si="1"/>
        <v>1</v>
      </c>
      <c r="B16" s="526" t="s">
        <v>461</v>
      </c>
      <c r="C16" s="526" t="s">
        <v>462</v>
      </c>
      <c r="D16" s="526" t="s">
        <v>438</v>
      </c>
      <c r="E16" s="526" t="s">
        <v>439</v>
      </c>
      <c r="H16" s="530">
        <v>2839</v>
      </c>
      <c r="I16" s="525" t="s">
        <v>463</v>
      </c>
      <c r="J16" s="525" t="s">
        <v>464</v>
      </c>
      <c r="K16" s="530">
        <v>130775</v>
      </c>
      <c r="L16" s="530">
        <v>0</v>
      </c>
      <c r="M16" s="530">
        <v>0</v>
      </c>
      <c r="N16" s="530">
        <v>130775</v>
      </c>
      <c r="O16" s="530">
        <v>0</v>
      </c>
      <c r="P16" s="530">
        <v>0</v>
      </c>
      <c r="Q16" s="530">
        <v>0</v>
      </c>
      <c r="R16" s="530">
        <v>14107</v>
      </c>
      <c r="S16" s="530">
        <v>144882</v>
      </c>
      <c r="T16" s="530">
        <v>0</v>
      </c>
      <c r="U16" s="530">
        <v>0</v>
      </c>
      <c r="V16" s="530">
        <v>0</v>
      </c>
      <c r="W16" s="530">
        <v>144882</v>
      </c>
    </row>
    <row r="17" spans="1:23" x14ac:dyDescent="0.3">
      <c r="A17" s="176">
        <f t="shared" si="1"/>
        <v>1</v>
      </c>
      <c r="B17" s="526" t="s">
        <v>465</v>
      </c>
      <c r="C17" s="526" t="s">
        <v>466</v>
      </c>
      <c r="D17" s="526" t="s">
        <v>438</v>
      </c>
      <c r="E17" s="526" t="s">
        <v>439</v>
      </c>
      <c r="H17" s="530">
        <v>2374</v>
      </c>
      <c r="I17" s="525" t="s">
        <v>467</v>
      </c>
      <c r="J17" s="525" t="s">
        <v>468</v>
      </c>
      <c r="K17" s="530">
        <v>115987</v>
      </c>
      <c r="L17" s="530">
        <v>0</v>
      </c>
      <c r="M17" s="530">
        <v>0</v>
      </c>
      <c r="N17" s="530">
        <v>115987</v>
      </c>
      <c r="O17" s="530">
        <v>0</v>
      </c>
      <c r="P17" s="530">
        <v>0</v>
      </c>
      <c r="Q17" s="530">
        <v>0</v>
      </c>
      <c r="R17" s="530">
        <v>0</v>
      </c>
      <c r="S17" s="530">
        <v>115987</v>
      </c>
      <c r="T17" s="530">
        <v>0</v>
      </c>
      <c r="U17" s="530">
        <v>0</v>
      </c>
      <c r="V17" s="530">
        <v>0</v>
      </c>
      <c r="W17" s="530">
        <v>115987</v>
      </c>
    </row>
    <row r="18" spans="1:23" x14ac:dyDescent="0.3">
      <c r="A18" s="176">
        <f t="shared" si="1"/>
        <v>1</v>
      </c>
      <c r="B18" s="526" t="s">
        <v>469</v>
      </c>
      <c r="C18" s="526" t="s">
        <v>470</v>
      </c>
      <c r="D18" s="526" t="s">
        <v>438</v>
      </c>
      <c r="E18" s="526" t="s">
        <v>439</v>
      </c>
      <c r="H18" s="530">
        <v>949</v>
      </c>
      <c r="I18" s="525" t="s">
        <v>471</v>
      </c>
      <c r="J18" s="525" t="s">
        <v>472</v>
      </c>
      <c r="K18" s="530">
        <v>48999</v>
      </c>
      <c r="L18" s="530">
        <v>0</v>
      </c>
      <c r="M18" s="530">
        <v>0</v>
      </c>
      <c r="N18" s="530">
        <v>48999</v>
      </c>
      <c r="O18" s="530">
        <v>0</v>
      </c>
      <c r="P18" s="530">
        <v>0</v>
      </c>
      <c r="Q18" s="530">
        <v>0</v>
      </c>
      <c r="R18" s="530">
        <v>2818</v>
      </c>
      <c r="S18" s="530">
        <v>51817</v>
      </c>
      <c r="T18" s="530">
        <v>0</v>
      </c>
      <c r="U18" s="530">
        <v>0</v>
      </c>
      <c r="V18" s="530">
        <v>0</v>
      </c>
      <c r="W18" s="530">
        <v>51817</v>
      </c>
    </row>
    <row r="19" spans="1:23" x14ac:dyDescent="0.3">
      <c r="A19" s="176">
        <f t="shared" si="1"/>
        <v>1</v>
      </c>
      <c r="B19" s="526" t="s">
        <v>473</v>
      </c>
      <c r="C19" s="526" t="s">
        <v>474</v>
      </c>
      <c r="D19" s="526" t="s">
        <v>438</v>
      </c>
      <c r="E19" s="526" t="s">
        <v>439</v>
      </c>
      <c r="H19" s="530">
        <v>11134</v>
      </c>
      <c r="I19" s="525" t="s">
        <v>448</v>
      </c>
      <c r="J19" s="525" t="s">
        <v>475</v>
      </c>
      <c r="K19" s="530">
        <v>256082</v>
      </c>
      <c r="L19" s="530">
        <v>0</v>
      </c>
      <c r="M19" s="530">
        <v>42680</v>
      </c>
      <c r="N19" s="530">
        <v>213402</v>
      </c>
      <c r="O19" s="530">
        <v>0</v>
      </c>
      <c r="P19" s="530">
        <v>0</v>
      </c>
      <c r="Q19" s="530">
        <v>0</v>
      </c>
      <c r="R19" s="530">
        <v>0</v>
      </c>
      <c r="S19" s="530">
        <v>213402</v>
      </c>
      <c r="T19" s="530">
        <v>612370</v>
      </c>
      <c r="U19" s="530">
        <v>218362</v>
      </c>
      <c r="V19" s="530">
        <v>0</v>
      </c>
      <c r="W19" s="530">
        <v>-617330</v>
      </c>
    </row>
    <row r="20" spans="1:23" x14ac:dyDescent="0.3">
      <c r="A20" s="176">
        <f t="shared" si="1"/>
        <v>1</v>
      </c>
      <c r="B20" s="526" t="s">
        <v>476</v>
      </c>
      <c r="C20" s="526" t="s">
        <v>477</v>
      </c>
      <c r="D20" s="526" t="s">
        <v>438</v>
      </c>
      <c r="E20" s="526" t="s">
        <v>439</v>
      </c>
      <c r="H20" s="530">
        <v>1371</v>
      </c>
      <c r="I20" s="525" t="s">
        <v>478</v>
      </c>
      <c r="J20" s="525" t="s">
        <v>479</v>
      </c>
      <c r="K20" s="530">
        <v>68258</v>
      </c>
      <c r="L20" s="530">
        <v>0</v>
      </c>
      <c r="M20" s="530">
        <v>0</v>
      </c>
      <c r="N20" s="530">
        <v>68258</v>
      </c>
      <c r="O20" s="530">
        <v>0</v>
      </c>
      <c r="P20" s="530">
        <v>0</v>
      </c>
      <c r="Q20" s="530">
        <v>0</v>
      </c>
      <c r="R20" s="530">
        <v>0</v>
      </c>
      <c r="S20" s="530">
        <v>68258</v>
      </c>
      <c r="T20" s="530">
        <v>0</v>
      </c>
      <c r="U20" s="530">
        <v>0</v>
      </c>
      <c r="V20" s="530">
        <v>0</v>
      </c>
      <c r="W20" s="530">
        <v>68258</v>
      </c>
    </row>
    <row r="21" spans="1:23" x14ac:dyDescent="0.3">
      <c r="A21" s="176">
        <f t="shared" si="1"/>
        <v>1</v>
      </c>
      <c r="B21" s="526" t="s">
        <v>480</v>
      </c>
      <c r="C21" s="526" t="s">
        <v>437</v>
      </c>
      <c r="D21" s="526" t="s">
        <v>438</v>
      </c>
      <c r="E21" s="526" t="s">
        <v>439</v>
      </c>
      <c r="H21" s="530">
        <v>500</v>
      </c>
      <c r="I21" s="525" t="s">
        <v>481</v>
      </c>
      <c r="J21" s="525" t="s">
        <v>482</v>
      </c>
      <c r="K21" s="530">
        <v>23873</v>
      </c>
      <c r="L21" s="530">
        <v>0</v>
      </c>
      <c r="M21" s="530">
        <v>0</v>
      </c>
      <c r="N21" s="530">
        <v>23873</v>
      </c>
      <c r="O21" s="530">
        <v>0</v>
      </c>
      <c r="P21" s="530">
        <v>0</v>
      </c>
      <c r="Q21" s="530">
        <v>0</v>
      </c>
      <c r="R21" s="530">
        <v>4485</v>
      </c>
      <c r="S21" s="530">
        <v>28358</v>
      </c>
      <c r="T21" s="530">
        <v>0</v>
      </c>
      <c r="U21" s="530">
        <v>0</v>
      </c>
      <c r="V21" s="530">
        <v>0</v>
      </c>
      <c r="W21" s="530">
        <v>28358</v>
      </c>
    </row>
    <row r="22" spans="1:23" x14ac:dyDescent="0.3">
      <c r="A22" s="176">
        <f t="shared" si="1"/>
        <v>1</v>
      </c>
      <c r="B22" s="526" t="s">
        <v>483</v>
      </c>
      <c r="C22" s="526" t="s">
        <v>484</v>
      </c>
      <c r="D22" s="526" t="s">
        <v>438</v>
      </c>
      <c r="E22" s="526" t="s">
        <v>439</v>
      </c>
      <c r="H22" s="530">
        <v>5103</v>
      </c>
      <c r="I22" s="525" t="s">
        <v>485</v>
      </c>
      <c r="J22" s="525" t="s">
        <v>486</v>
      </c>
      <c r="K22" s="530">
        <v>210040</v>
      </c>
      <c r="L22" s="530">
        <v>0</v>
      </c>
      <c r="M22" s="530">
        <v>0</v>
      </c>
      <c r="N22" s="530">
        <v>210040</v>
      </c>
      <c r="O22" s="530">
        <v>0</v>
      </c>
      <c r="P22" s="530">
        <v>0</v>
      </c>
      <c r="Q22" s="530">
        <v>0</v>
      </c>
      <c r="R22" s="530">
        <v>0</v>
      </c>
      <c r="S22" s="530">
        <v>210040</v>
      </c>
      <c r="T22" s="530">
        <v>0</v>
      </c>
      <c r="U22" s="530">
        <v>0</v>
      </c>
      <c r="V22" s="530">
        <v>0</v>
      </c>
      <c r="W22" s="530">
        <v>210040</v>
      </c>
    </row>
    <row r="23" spans="1:23" x14ac:dyDescent="0.3">
      <c r="A23" s="176">
        <f t="shared" si="1"/>
        <v>1</v>
      </c>
      <c r="B23" s="526" t="s">
        <v>487</v>
      </c>
      <c r="C23" s="526" t="s">
        <v>488</v>
      </c>
      <c r="D23" s="526" t="s">
        <v>438</v>
      </c>
      <c r="E23" s="526" t="s">
        <v>439</v>
      </c>
      <c r="H23" s="530">
        <v>4656</v>
      </c>
      <c r="I23" s="525" t="s">
        <v>489</v>
      </c>
      <c r="J23" s="525" t="s">
        <v>490</v>
      </c>
      <c r="K23" s="530">
        <v>203858</v>
      </c>
      <c r="L23" s="530">
        <v>0</v>
      </c>
      <c r="M23" s="530">
        <v>0</v>
      </c>
      <c r="N23" s="530">
        <v>203858</v>
      </c>
      <c r="O23" s="530">
        <v>0</v>
      </c>
      <c r="P23" s="530">
        <v>0</v>
      </c>
      <c r="Q23" s="530">
        <v>0</v>
      </c>
      <c r="R23" s="530">
        <v>0</v>
      </c>
      <c r="S23" s="530">
        <v>203858</v>
      </c>
      <c r="T23" s="530">
        <v>0</v>
      </c>
      <c r="U23" s="530">
        <v>0</v>
      </c>
      <c r="V23" s="530">
        <v>0</v>
      </c>
      <c r="W23" s="530">
        <v>203858</v>
      </c>
    </row>
    <row r="24" spans="1:23" x14ac:dyDescent="0.3">
      <c r="A24" s="176">
        <f t="shared" si="1"/>
        <v>1</v>
      </c>
      <c r="B24" s="526" t="s">
        <v>491</v>
      </c>
      <c r="C24" s="526" t="s">
        <v>492</v>
      </c>
      <c r="D24" s="526" t="s">
        <v>438</v>
      </c>
      <c r="E24" s="526" t="s">
        <v>439</v>
      </c>
      <c r="H24" s="530">
        <v>7452</v>
      </c>
      <c r="I24" s="525" t="s">
        <v>448</v>
      </c>
      <c r="J24" s="525" t="s">
        <v>493</v>
      </c>
      <c r="K24" s="530">
        <v>260820</v>
      </c>
      <c r="L24" s="530">
        <v>0</v>
      </c>
      <c r="M24" s="530">
        <v>21735</v>
      </c>
      <c r="N24" s="530">
        <v>239085</v>
      </c>
      <c r="O24" s="530">
        <v>0</v>
      </c>
      <c r="P24" s="530">
        <v>0</v>
      </c>
      <c r="Q24" s="530">
        <v>0</v>
      </c>
      <c r="R24" s="530">
        <v>0</v>
      </c>
      <c r="S24" s="530">
        <v>239085</v>
      </c>
      <c r="T24" s="530">
        <v>521640</v>
      </c>
      <c r="U24" s="530">
        <v>103276</v>
      </c>
      <c r="V24" s="530">
        <v>0</v>
      </c>
      <c r="W24" s="530">
        <v>-385831</v>
      </c>
    </row>
    <row r="25" spans="1:23" x14ac:dyDescent="0.3">
      <c r="A25" s="176">
        <f t="shared" si="1"/>
        <v>1</v>
      </c>
      <c r="B25" s="526" t="s">
        <v>494</v>
      </c>
      <c r="C25" s="526" t="s">
        <v>495</v>
      </c>
      <c r="D25" s="526" t="s">
        <v>438</v>
      </c>
      <c r="E25" s="526" t="s">
        <v>439</v>
      </c>
      <c r="H25" s="530">
        <v>1424</v>
      </c>
      <c r="I25" s="525" t="s">
        <v>496</v>
      </c>
      <c r="J25" s="525" t="s">
        <v>497</v>
      </c>
      <c r="K25" s="530">
        <v>66227</v>
      </c>
      <c r="L25" s="530">
        <v>0</v>
      </c>
      <c r="M25" s="530">
        <v>0</v>
      </c>
      <c r="N25" s="530">
        <v>66227</v>
      </c>
      <c r="O25" s="530">
        <v>0</v>
      </c>
      <c r="P25" s="530">
        <v>0</v>
      </c>
      <c r="Q25" s="530">
        <v>0</v>
      </c>
      <c r="R25" s="530">
        <v>11348</v>
      </c>
      <c r="S25" s="530">
        <v>77575</v>
      </c>
      <c r="T25" s="530">
        <v>0</v>
      </c>
      <c r="U25" s="530">
        <v>0</v>
      </c>
      <c r="V25" s="530">
        <v>0</v>
      </c>
      <c r="W25" s="530">
        <v>77575</v>
      </c>
    </row>
    <row r="26" spans="1:23" x14ac:dyDescent="0.3">
      <c r="A26" s="176">
        <f t="shared" si="1"/>
        <v>1</v>
      </c>
      <c r="B26" s="526" t="s">
        <v>498</v>
      </c>
      <c r="C26" s="526" t="s">
        <v>437</v>
      </c>
      <c r="D26" s="526" t="s">
        <v>438</v>
      </c>
      <c r="E26" s="526" t="s">
        <v>439</v>
      </c>
      <c r="H26" s="530">
        <v>1500</v>
      </c>
      <c r="I26" s="525" t="s">
        <v>499</v>
      </c>
      <c r="J26" s="525" t="s">
        <v>500</v>
      </c>
      <c r="K26" s="530">
        <v>91805</v>
      </c>
      <c r="L26" s="530">
        <v>0</v>
      </c>
      <c r="M26" s="530">
        <v>0</v>
      </c>
      <c r="N26" s="530">
        <v>91805</v>
      </c>
      <c r="O26" s="530">
        <v>0</v>
      </c>
      <c r="P26" s="530">
        <v>0</v>
      </c>
      <c r="Q26" s="530">
        <v>0</v>
      </c>
      <c r="R26" s="530">
        <v>0</v>
      </c>
      <c r="S26" s="530">
        <v>91805</v>
      </c>
      <c r="T26" s="530">
        <v>0</v>
      </c>
      <c r="U26" s="530">
        <v>0</v>
      </c>
      <c r="V26" s="530">
        <v>0</v>
      </c>
      <c r="W26" s="530">
        <v>91805</v>
      </c>
    </row>
    <row r="27" spans="1:23" x14ac:dyDescent="0.3">
      <c r="A27" s="176">
        <f t="shared" si="1"/>
        <v>1</v>
      </c>
      <c r="B27" s="526" t="s">
        <v>501</v>
      </c>
      <c r="C27" s="526" t="s">
        <v>437</v>
      </c>
      <c r="D27" s="526" t="s">
        <v>438</v>
      </c>
      <c r="E27" s="526" t="s">
        <v>439</v>
      </c>
      <c r="H27" s="530">
        <v>500</v>
      </c>
      <c r="I27" s="525" t="s">
        <v>481</v>
      </c>
      <c r="J27" s="525" t="s">
        <v>502</v>
      </c>
      <c r="K27" s="530">
        <v>23366</v>
      </c>
      <c r="L27" s="530">
        <v>0</v>
      </c>
      <c r="M27" s="530">
        <v>0</v>
      </c>
      <c r="N27" s="530">
        <v>23366</v>
      </c>
      <c r="O27" s="530">
        <v>0</v>
      </c>
      <c r="P27" s="530">
        <v>0</v>
      </c>
      <c r="Q27" s="530">
        <v>0</v>
      </c>
      <c r="R27" s="530">
        <v>4485</v>
      </c>
      <c r="S27" s="530">
        <v>27850</v>
      </c>
      <c r="T27" s="530">
        <v>0</v>
      </c>
      <c r="U27" s="530">
        <v>0</v>
      </c>
      <c r="V27" s="530">
        <v>0</v>
      </c>
      <c r="W27" s="530">
        <v>27850</v>
      </c>
    </row>
    <row r="28" spans="1:23" x14ac:dyDescent="0.3">
      <c r="A28" s="176">
        <f t="shared" si="1"/>
        <v>1</v>
      </c>
      <c r="B28" s="526" t="s">
        <v>503</v>
      </c>
      <c r="C28" s="526" t="s">
        <v>466</v>
      </c>
      <c r="D28" s="526" t="s">
        <v>438</v>
      </c>
      <c r="E28" s="526" t="s">
        <v>439</v>
      </c>
      <c r="H28" s="530">
        <v>3798</v>
      </c>
      <c r="I28" s="525" t="s">
        <v>504</v>
      </c>
      <c r="J28" s="525" t="s">
        <v>505</v>
      </c>
      <c r="K28" s="530">
        <v>174187</v>
      </c>
      <c r="L28" s="530">
        <v>0</v>
      </c>
      <c r="M28" s="530">
        <v>0</v>
      </c>
      <c r="N28" s="530">
        <v>174187</v>
      </c>
      <c r="O28" s="530">
        <v>0</v>
      </c>
      <c r="P28" s="530">
        <v>0</v>
      </c>
      <c r="Q28" s="530">
        <v>0</v>
      </c>
      <c r="R28" s="530">
        <v>18873</v>
      </c>
      <c r="S28" s="530">
        <v>193060</v>
      </c>
      <c r="T28" s="530">
        <v>0</v>
      </c>
      <c r="U28" s="530">
        <v>0</v>
      </c>
      <c r="V28" s="530">
        <v>0</v>
      </c>
      <c r="W28" s="530">
        <v>193060</v>
      </c>
    </row>
    <row r="29" spans="1:23" x14ac:dyDescent="0.3">
      <c r="A29" s="176">
        <f t="shared" si="1"/>
        <v>1</v>
      </c>
      <c r="B29" s="526" t="s">
        <v>506</v>
      </c>
      <c r="C29" s="526" t="s">
        <v>507</v>
      </c>
      <c r="D29" s="526" t="s">
        <v>438</v>
      </c>
      <c r="E29" s="526" t="s">
        <v>439</v>
      </c>
      <c r="H29" s="530">
        <v>12505</v>
      </c>
      <c r="I29" s="525" t="s">
        <v>508</v>
      </c>
      <c r="J29" s="525" t="s">
        <v>482</v>
      </c>
      <c r="K29" s="530">
        <v>610366</v>
      </c>
      <c r="L29" s="530">
        <v>0</v>
      </c>
      <c r="M29" s="530">
        <v>0</v>
      </c>
      <c r="N29" s="530">
        <v>610366</v>
      </c>
      <c r="O29" s="530">
        <v>0</v>
      </c>
      <c r="P29" s="530">
        <v>0</v>
      </c>
      <c r="Q29" s="530">
        <v>0</v>
      </c>
      <c r="R29" s="530">
        <v>0</v>
      </c>
      <c r="S29" s="530">
        <v>610366</v>
      </c>
      <c r="T29" s="530">
        <v>0</v>
      </c>
      <c r="U29" s="530">
        <v>0</v>
      </c>
      <c r="V29" s="530">
        <v>0</v>
      </c>
      <c r="W29" s="530">
        <v>610366</v>
      </c>
    </row>
    <row r="30" spans="1:23" x14ac:dyDescent="0.3">
      <c r="A30" s="176">
        <f t="shared" si="1"/>
        <v>1</v>
      </c>
      <c r="B30" s="526" t="s">
        <v>509</v>
      </c>
      <c r="C30" s="526" t="s">
        <v>510</v>
      </c>
      <c r="D30" s="526" t="s">
        <v>438</v>
      </c>
      <c r="E30" s="526" t="s">
        <v>439</v>
      </c>
      <c r="H30" s="530">
        <v>4272</v>
      </c>
      <c r="I30" s="525" t="s">
        <v>511</v>
      </c>
      <c r="J30" s="525" t="s">
        <v>486</v>
      </c>
      <c r="K30" s="530">
        <v>184123</v>
      </c>
      <c r="L30" s="530">
        <v>0</v>
      </c>
      <c r="M30" s="530">
        <v>0</v>
      </c>
      <c r="N30" s="530">
        <v>184123</v>
      </c>
      <c r="O30" s="530">
        <v>0</v>
      </c>
      <c r="P30" s="530">
        <v>0</v>
      </c>
      <c r="Q30" s="530">
        <v>0</v>
      </c>
      <c r="R30" s="530">
        <v>0</v>
      </c>
      <c r="S30" s="530">
        <v>184123</v>
      </c>
      <c r="T30" s="530">
        <v>0</v>
      </c>
      <c r="U30" s="530">
        <v>0</v>
      </c>
      <c r="V30" s="530">
        <v>0</v>
      </c>
      <c r="W30" s="530">
        <v>184123</v>
      </c>
    </row>
    <row r="31" spans="1:23" x14ac:dyDescent="0.3">
      <c r="A31" s="176">
        <f t="shared" si="1"/>
        <v>1</v>
      </c>
      <c r="B31" s="526" t="s">
        <v>512</v>
      </c>
      <c r="C31" s="526" t="s">
        <v>513</v>
      </c>
      <c r="D31" s="526" t="s">
        <v>287</v>
      </c>
      <c r="E31" s="526" t="s">
        <v>439</v>
      </c>
      <c r="H31" s="530">
        <v>115</v>
      </c>
      <c r="I31" s="525" t="s">
        <v>448</v>
      </c>
      <c r="J31" s="525" t="s">
        <v>514</v>
      </c>
      <c r="K31" s="530">
        <v>26760</v>
      </c>
      <c r="L31" s="530">
        <v>1100</v>
      </c>
      <c r="M31" s="530">
        <v>0</v>
      </c>
      <c r="N31" s="530">
        <v>25660</v>
      </c>
      <c r="O31" s="530">
        <v>0</v>
      </c>
      <c r="P31" s="530">
        <v>0</v>
      </c>
      <c r="Q31" s="530">
        <v>0</v>
      </c>
      <c r="R31" s="530">
        <v>0</v>
      </c>
      <c r="S31" s="530">
        <v>25660</v>
      </c>
      <c r="T31" s="530">
        <v>0</v>
      </c>
      <c r="U31" s="530">
        <v>0</v>
      </c>
      <c r="V31" s="530">
        <v>0</v>
      </c>
      <c r="W31" s="530">
        <v>25660</v>
      </c>
    </row>
    <row r="32" spans="1:23" x14ac:dyDescent="0.3">
      <c r="A32" s="176">
        <f t="shared" si="1"/>
        <v>1</v>
      </c>
      <c r="B32" s="526" t="s">
        <v>515</v>
      </c>
      <c r="C32" s="526" t="s">
        <v>513</v>
      </c>
      <c r="D32" s="526" t="s">
        <v>287</v>
      </c>
      <c r="E32" s="526" t="s">
        <v>439</v>
      </c>
      <c r="H32" s="530">
        <v>1179</v>
      </c>
      <c r="I32" s="525" t="s">
        <v>448</v>
      </c>
      <c r="J32" s="525" t="s">
        <v>516</v>
      </c>
      <c r="K32" s="530">
        <v>481032</v>
      </c>
      <c r="L32" s="530">
        <v>0</v>
      </c>
      <c r="M32" s="530">
        <v>0</v>
      </c>
      <c r="N32" s="530">
        <v>481032</v>
      </c>
      <c r="O32" s="530">
        <v>0</v>
      </c>
      <c r="P32" s="530">
        <v>0</v>
      </c>
      <c r="Q32" s="530">
        <v>0</v>
      </c>
      <c r="R32" s="530">
        <v>0</v>
      </c>
      <c r="S32" s="530">
        <v>481032</v>
      </c>
      <c r="T32" s="530">
        <v>0</v>
      </c>
      <c r="U32" s="530">
        <v>0</v>
      </c>
      <c r="V32" s="530">
        <v>0</v>
      </c>
      <c r="W32" s="530">
        <v>481032</v>
      </c>
    </row>
    <row r="33" spans="1:23" x14ac:dyDescent="0.3">
      <c r="A33" s="176">
        <f t="shared" si="1"/>
        <v>1</v>
      </c>
      <c r="B33" s="526" t="s">
        <v>517</v>
      </c>
      <c r="C33" s="526" t="s">
        <v>513</v>
      </c>
      <c r="D33" s="526" t="s">
        <v>287</v>
      </c>
      <c r="E33" s="526" t="s">
        <v>439</v>
      </c>
      <c r="H33" s="530">
        <v>711</v>
      </c>
      <c r="I33" s="525" t="s">
        <v>448</v>
      </c>
      <c r="J33" s="525" t="s">
        <v>518</v>
      </c>
      <c r="K33" s="530">
        <v>290088</v>
      </c>
      <c r="L33" s="530">
        <v>0</v>
      </c>
      <c r="M33" s="530">
        <v>0</v>
      </c>
      <c r="N33" s="530">
        <v>290088</v>
      </c>
      <c r="O33" s="530">
        <v>0</v>
      </c>
      <c r="P33" s="530">
        <v>0</v>
      </c>
      <c r="Q33" s="530">
        <v>0</v>
      </c>
      <c r="R33" s="530">
        <v>0</v>
      </c>
      <c r="S33" s="530">
        <v>290088</v>
      </c>
      <c r="T33" s="530">
        <v>0</v>
      </c>
      <c r="U33" s="530">
        <v>0</v>
      </c>
      <c r="V33" s="530">
        <v>0</v>
      </c>
      <c r="W33" s="530">
        <v>290088</v>
      </c>
    </row>
    <row r="34" spans="1:23" x14ac:dyDescent="0.3">
      <c r="A34" s="176">
        <f t="shared" si="1"/>
        <v>1</v>
      </c>
      <c r="B34" s="526" t="s">
        <v>519</v>
      </c>
      <c r="C34" s="526" t="s">
        <v>513</v>
      </c>
      <c r="D34" s="526" t="s">
        <v>287</v>
      </c>
      <c r="E34" s="526" t="s">
        <v>439</v>
      </c>
      <c r="H34" s="530">
        <v>267</v>
      </c>
      <c r="I34" s="525" t="s">
        <v>448</v>
      </c>
      <c r="J34" s="525" t="s">
        <v>518</v>
      </c>
      <c r="K34" s="530">
        <v>108936</v>
      </c>
      <c r="L34" s="530">
        <v>0</v>
      </c>
      <c r="M34" s="530">
        <v>0</v>
      </c>
      <c r="N34" s="530">
        <v>108936</v>
      </c>
      <c r="O34" s="530">
        <v>0</v>
      </c>
      <c r="P34" s="530">
        <v>0</v>
      </c>
      <c r="Q34" s="530">
        <v>0</v>
      </c>
      <c r="R34" s="530">
        <v>0</v>
      </c>
      <c r="S34" s="530">
        <v>108936</v>
      </c>
      <c r="T34" s="530">
        <v>0</v>
      </c>
      <c r="U34" s="530">
        <v>0</v>
      </c>
      <c r="V34" s="530">
        <v>0</v>
      </c>
      <c r="W34" s="530">
        <v>108936</v>
      </c>
    </row>
    <row r="35" spans="1:23" x14ac:dyDescent="0.3">
      <c r="A35" s="176">
        <f t="shared" si="1"/>
        <v>1</v>
      </c>
      <c r="B35" s="526" t="s">
        <v>520</v>
      </c>
      <c r="C35" s="526" t="s">
        <v>513</v>
      </c>
      <c r="D35" s="526" t="s">
        <v>287</v>
      </c>
      <c r="E35" s="526" t="s">
        <v>439</v>
      </c>
      <c r="H35" s="530">
        <v>2334</v>
      </c>
      <c r="I35" s="525" t="s">
        <v>448</v>
      </c>
      <c r="J35" s="525" t="s">
        <v>518</v>
      </c>
      <c r="K35" s="530">
        <v>952272</v>
      </c>
      <c r="L35" s="530">
        <v>0</v>
      </c>
      <c r="M35" s="530">
        <v>0</v>
      </c>
      <c r="N35" s="530">
        <v>952272</v>
      </c>
      <c r="O35" s="530">
        <v>0</v>
      </c>
      <c r="P35" s="530">
        <v>0</v>
      </c>
      <c r="Q35" s="530">
        <v>0</v>
      </c>
      <c r="R35" s="530">
        <v>0</v>
      </c>
      <c r="S35" s="530">
        <v>952272</v>
      </c>
      <c r="T35" s="530">
        <v>0</v>
      </c>
      <c r="U35" s="530">
        <v>0</v>
      </c>
      <c r="V35" s="530">
        <v>0</v>
      </c>
      <c r="W35" s="530">
        <v>952272</v>
      </c>
    </row>
    <row r="36" spans="1:23" x14ac:dyDescent="0.3">
      <c r="A36" s="176">
        <f t="shared" si="1"/>
        <v>1</v>
      </c>
      <c r="B36" s="526" t="s">
        <v>521</v>
      </c>
      <c r="C36" s="526" t="s">
        <v>513</v>
      </c>
      <c r="D36" s="526" t="s">
        <v>287</v>
      </c>
      <c r="E36" s="526" t="s">
        <v>439</v>
      </c>
      <c r="H36" s="530">
        <v>7864</v>
      </c>
      <c r="I36" s="525" t="s">
        <v>448</v>
      </c>
      <c r="J36" s="525" t="s">
        <v>516</v>
      </c>
      <c r="K36" s="530">
        <v>3208512</v>
      </c>
      <c r="L36" s="530">
        <v>0</v>
      </c>
      <c r="M36" s="530">
        <v>0</v>
      </c>
      <c r="N36" s="530">
        <v>3208512</v>
      </c>
      <c r="O36" s="530">
        <v>0</v>
      </c>
      <c r="P36" s="530">
        <v>0</v>
      </c>
      <c r="Q36" s="530">
        <v>0</v>
      </c>
      <c r="R36" s="530">
        <v>0</v>
      </c>
      <c r="S36" s="530">
        <v>3208512</v>
      </c>
      <c r="T36" s="530">
        <v>0</v>
      </c>
      <c r="U36" s="530">
        <v>0</v>
      </c>
      <c r="V36" s="530">
        <v>0</v>
      </c>
      <c r="W36" s="530">
        <v>3208512</v>
      </c>
    </row>
    <row r="37" spans="1:23" x14ac:dyDescent="0.3">
      <c r="A37" s="176">
        <f t="shared" si="1"/>
        <v>1</v>
      </c>
      <c r="B37" s="526" t="s">
        <v>522</v>
      </c>
      <c r="C37" s="526" t="s">
        <v>513</v>
      </c>
      <c r="D37" s="526" t="s">
        <v>287</v>
      </c>
      <c r="E37" s="526" t="s">
        <v>439</v>
      </c>
      <c r="H37" s="530">
        <v>705</v>
      </c>
      <c r="I37" s="525" t="s">
        <v>448</v>
      </c>
      <c r="J37" s="525" t="s">
        <v>523</v>
      </c>
      <c r="K37" s="530">
        <v>287640</v>
      </c>
      <c r="L37" s="530">
        <v>0</v>
      </c>
      <c r="M37" s="530">
        <v>0</v>
      </c>
      <c r="N37" s="530">
        <v>287640</v>
      </c>
      <c r="O37" s="530">
        <v>0</v>
      </c>
      <c r="P37" s="530">
        <v>0</v>
      </c>
      <c r="Q37" s="530">
        <v>0</v>
      </c>
      <c r="R37" s="530">
        <v>0</v>
      </c>
      <c r="S37" s="530">
        <v>287640</v>
      </c>
      <c r="T37" s="530">
        <v>0</v>
      </c>
      <c r="U37" s="530">
        <v>0</v>
      </c>
      <c r="V37" s="530">
        <v>0</v>
      </c>
      <c r="W37" s="530">
        <v>287640</v>
      </c>
    </row>
    <row r="38" spans="1:23" x14ac:dyDescent="0.3">
      <c r="A38" s="176">
        <f t="shared" si="1"/>
        <v>1</v>
      </c>
      <c r="B38" s="526" t="s">
        <v>524</v>
      </c>
      <c r="C38" s="526" t="s">
        <v>513</v>
      </c>
      <c r="D38" s="526" t="s">
        <v>287</v>
      </c>
      <c r="E38" s="526" t="s">
        <v>439</v>
      </c>
      <c r="H38" s="530">
        <v>6085</v>
      </c>
      <c r="I38" s="525" t="s">
        <v>448</v>
      </c>
      <c r="J38" s="525" t="s">
        <v>518</v>
      </c>
      <c r="K38" s="530">
        <v>2482680</v>
      </c>
      <c r="L38" s="530">
        <v>0</v>
      </c>
      <c r="M38" s="530">
        <v>0</v>
      </c>
      <c r="N38" s="530">
        <v>2482680</v>
      </c>
      <c r="O38" s="530">
        <v>0</v>
      </c>
      <c r="P38" s="530">
        <v>0</v>
      </c>
      <c r="Q38" s="530">
        <v>0</v>
      </c>
      <c r="R38" s="530">
        <v>0</v>
      </c>
      <c r="S38" s="530">
        <v>2482680</v>
      </c>
      <c r="T38" s="530">
        <v>0</v>
      </c>
      <c r="U38" s="530">
        <v>0</v>
      </c>
      <c r="V38" s="530">
        <v>0</v>
      </c>
      <c r="W38" s="530">
        <v>2482680</v>
      </c>
    </row>
    <row r="39" spans="1:23" x14ac:dyDescent="0.3">
      <c r="A39" s="176">
        <f t="shared" si="1"/>
        <v>1</v>
      </c>
      <c r="B39" s="526" t="s">
        <v>525</v>
      </c>
      <c r="C39" s="526" t="s">
        <v>513</v>
      </c>
      <c r="D39" s="526" t="s">
        <v>287</v>
      </c>
      <c r="E39" s="526" t="s">
        <v>439</v>
      </c>
      <c r="H39" s="530">
        <v>5768</v>
      </c>
      <c r="I39" s="525" t="s">
        <v>448</v>
      </c>
      <c r="J39" s="525" t="s">
        <v>518</v>
      </c>
      <c r="K39" s="530">
        <v>2353344</v>
      </c>
      <c r="L39" s="530">
        <v>0</v>
      </c>
      <c r="M39" s="530">
        <v>0</v>
      </c>
      <c r="N39" s="530">
        <v>2353344</v>
      </c>
      <c r="O39" s="530">
        <v>0</v>
      </c>
      <c r="P39" s="530">
        <v>0</v>
      </c>
      <c r="Q39" s="530">
        <v>0</v>
      </c>
      <c r="R39" s="530">
        <v>0</v>
      </c>
      <c r="S39" s="530">
        <v>2353344</v>
      </c>
      <c r="T39" s="530">
        <v>0</v>
      </c>
      <c r="U39" s="530">
        <v>0</v>
      </c>
      <c r="V39" s="530">
        <v>0</v>
      </c>
      <c r="W39" s="530">
        <v>2353344</v>
      </c>
    </row>
    <row r="40" spans="1:23" x14ac:dyDescent="0.3">
      <c r="A40" s="176">
        <f t="shared" si="1"/>
        <v>1</v>
      </c>
      <c r="B40" s="526" t="s">
        <v>526</v>
      </c>
      <c r="C40" s="526" t="s">
        <v>513</v>
      </c>
      <c r="D40" s="526" t="s">
        <v>287</v>
      </c>
      <c r="E40" s="526" t="s">
        <v>439</v>
      </c>
      <c r="H40" s="530">
        <v>12083</v>
      </c>
      <c r="I40" s="525" t="s">
        <v>448</v>
      </c>
      <c r="J40" s="525" t="s">
        <v>516</v>
      </c>
      <c r="K40" s="530">
        <v>4929864</v>
      </c>
      <c r="L40" s="530">
        <v>0</v>
      </c>
      <c r="M40" s="530">
        <v>821644</v>
      </c>
      <c r="N40" s="530">
        <v>4108220</v>
      </c>
      <c r="O40" s="530">
        <v>0</v>
      </c>
      <c r="P40" s="530">
        <v>0</v>
      </c>
      <c r="Q40" s="530">
        <v>0</v>
      </c>
      <c r="R40" s="530">
        <v>0</v>
      </c>
      <c r="S40" s="530">
        <v>4108220</v>
      </c>
      <c r="T40" s="530">
        <v>0</v>
      </c>
      <c r="U40" s="530">
        <v>0</v>
      </c>
      <c r="V40" s="530">
        <v>0</v>
      </c>
      <c r="W40" s="530">
        <v>4108220</v>
      </c>
    </row>
    <row r="41" spans="1:23" x14ac:dyDescent="0.3">
      <c r="A41" s="176">
        <f t="shared" si="1"/>
        <v>1</v>
      </c>
      <c r="B41" s="526" t="s">
        <v>527</v>
      </c>
      <c r="C41" s="526" t="s">
        <v>528</v>
      </c>
      <c r="D41" s="526" t="s">
        <v>438</v>
      </c>
      <c r="E41" s="526" t="s">
        <v>439</v>
      </c>
      <c r="H41" s="530">
        <v>6803</v>
      </c>
      <c r="I41" s="525" t="s">
        <v>529</v>
      </c>
      <c r="J41" s="525" t="s">
        <v>530</v>
      </c>
      <c r="K41" s="530">
        <v>316960</v>
      </c>
      <c r="L41" s="530">
        <v>0</v>
      </c>
      <c r="M41" s="530">
        <v>0</v>
      </c>
      <c r="N41" s="530">
        <v>316960</v>
      </c>
      <c r="O41" s="530">
        <v>0</v>
      </c>
      <c r="P41" s="530">
        <v>0</v>
      </c>
      <c r="Q41" s="530">
        <v>0</v>
      </c>
      <c r="R41" s="530">
        <v>20199</v>
      </c>
      <c r="S41" s="530">
        <v>337159</v>
      </c>
      <c r="T41" s="530">
        <v>0</v>
      </c>
      <c r="U41" s="530">
        <v>0</v>
      </c>
      <c r="V41" s="530">
        <v>0</v>
      </c>
      <c r="W41" s="530">
        <v>337159</v>
      </c>
    </row>
    <row r="42" spans="1:23" x14ac:dyDescent="0.3">
      <c r="A42" s="176">
        <f t="shared" si="1"/>
        <v>1</v>
      </c>
      <c r="B42" s="526" t="s">
        <v>531</v>
      </c>
      <c r="C42" s="526" t="s">
        <v>532</v>
      </c>
      <c r="D42" s="526" t="s">
        <v>438</v>
      </c>
      <c r="E42" s="526" t="s">
        <v>439</v>
      </c>
      <c r="H42" s="530">
        <v>32750</v>
      </c>
      <c r="I42" s="525" t="s">
        <v>533</v>
      </c>
      <c r="J42" s="525" t="s">
        <v>534</v>
      </c>
      <c r="K42" s="530">
        <v>2197655</v>
      </c>
      <c r="L42" s="530">
        <v>0</v>
      </c>
      <c r="M42" s="530">
        <v>0</v>
      </c>
      <c r="N42" s="530">
        <v>2197655</v>
      </c>
      <c r="O42" s="530">
        <v>0</v>
      </c>
      <c r="P42" s="530">
        <v>0</v>
      </c>
      <c r="Q42" s="530">
        <v>0</v>
      </c>
      <c r="R42" s="530">
        <v>195487</v>
      </c>
      <c r="S42" s="530">
        <v>2393142</v>
      </c>
      <c r="T42" s="530">
        <v>0</v>
      </c>
      <c r="U42" s="530">
        <v>0</v>
      </c>
      <c r="V42" s="530">
        <v>0</v>
      </c>
      <c r="W42" s="530">
        <v>2393142</v>
      </c>
    </row>
    <row r="43" spans="1:23" x14ac:dyDescent="0.3">
      <c r="A43" s="176">
        <f t="shared" si="1"/>
        <v>1</v>
      </c>
      <c r="B43" s="526" t="s">
        <v>535</v>
      </c>
      <c r="C43" s="526" t="s">
        <v>536</v>
      </c>
      <c r="D43" s="526" t="s">
        <v>438</v>
      </c>
      <c r="E43" s="526" t="s">
        <v>439</v>
      </c>
      <c r="H43" s="530">
        <v>2621</v>
      </c>
      <c r="I43" s="525" t="s">
        <v>537</v>
      </c>
      <c r="J43" s="525" t="s">
        <v>538</v>
      </c>
      <c r="K43" s="530">
        <v>123092</v>
      </c>
      <c r="L43" s="530">
        <v>0</v>
      </c>
      <c r="M43" s="530">
        <v>0</v>
      </c>
      <c r="N43" s="530">
        <v>123092</v>
      </c>
      <c r="O43" s="530">
        <v>0</v>
      </c>
      <c r="P43" s="530">
        <v>0</v>
      </c>
      <c r="Q43" s="530">
        <v>0</v>
      </c>
      <c r="R43" s="530">
        <v>0</v>
      </c>
      <c r="S43" s="530">
        <v>123092</v>
      </c>
      <c r="T43" s="530">
        <v>0</v>
      </c>
      <c r="U43" s="530">
        <v>0</v>
      </c>
      <c r="V43" s="530">
        <v>0</v>
      </c>
      <c r="W43" s="530">
        <v>123092</v>
      </c>
    </row>
    <row r="44" spans="1:23" x14ac:dyDescent="0.3">
      <c r="A44" s="176">
        <f t="shared" si="1"/>
        <v>1</v>
      </c>
      <c r="B44" s="526" t="s">
        <v>539</v>
      </c>
      <c r="C44" s="526" t="s">
        <v>540</v>
      </c>
      <c r="D44" s="526" t="s">
        <v>438</v>
      </c>
      <c r="E44" s="526" t="s">
        <v>439</v>
      </c>
      <c r="H44" s="530">
        <v>3323</v>
      </c>
      <c r="I44" s="525" t="s">
        <v>541</v>
      </c>
      <c r="J44" s="525" t="s">
        <v>542</v>
      </c>
      <c r="K44" s="530">
        <v>162032</v>
      </c>
      <c r="L44" s="530">
        <v>0</v>
      </c>
      <c r="M44" s="530">
        <v>0</v>
      </c>
      <c r="N44" s="530">
        <v>162032</v>
      </c>
      <c r="O44" s="530">
        <v>0</v>
      </c>
      <c r="P44" s="530">
        <v>0</v>
      </c>
      <c r="Q44" s="530">
        <v>0</v>
      </c>
      <c r="R44" s="530">
        <v>0</v>
      </c>
      <c r="S44" s="530">
        <v>162032</v>
      </c>
      <c r="T44" s="530">
        <v>0</v>
      </c>
      <c r="U44" s="530">
        <v>0</v>
      </c>
      <c r="V44" s="530">
        <v>0</v>
      </c>
      <c r="W44" s="530">
        <v>162032</v>
      </c>
    </row>
    <row r="45" spans="1:23" x14ac:dyDescent="0.3">
      <c r="A45" s="176">
        <f t="shared" si="1"/>
        <v>1</v>
      </c>
      <c r="B45" s="526" t="s">
        <v>543</v>
      </c>
      <c r="C45" s="526" t="s">
        <v>544</v>
      </c>
      <c r="D45" s="526" t="s">
        <v>438</v>
      </c>
      <c r="E45" s="526" t="s">
        <v>439</v>
      </c>
      <c r="H45" s="530">
        <v>215819</v>
      </c>
      <c r="I45" s="525" t="s">
        <v>463</v>
      </c>
      <c r="J45" s="525" t="s">
        <v>457</v>
      </c>
      <c r="K45" s="530">
        <v>12200762</v>
      </c>
      <c r="L45" s="530">
        <v>0</v>
      </c>
      <c r="M45" s="530">
        <v>0</v>
      </c>
      <c r="N45" s="530">
        <v>12200762</v>
      </c>
      <c r="O45" s="530">
        <v>0</v>
      </c>
      <c r="P45" s="530">
        <v>0</v>
      </c>
      <c r="Q45" s="530">
        <v>0</v>
      </c>
      <c r="R45" s="530">
        <v>0</v>
      </c>
      <c r="S45" s="530">
        <v>12200762</v>
      </c>
      <c r="T45" s="530">
        <v>0</v>
      </c>
      <c r="U45" s="530">
        <v>0</v>
      </c>
      <c r="V45" s="530">
        <v>0</v>
      </c>
      <c r="W45" s="530">
        <v>12200762</v>
      </c>
    </row>
    <row r="46" spans="1:23" x14ac:dyDescent="0.3">
      <c r="A46" s="176">
        <f t="shared" si="1"/>
        <v>1</v>
      </c>
      <c r="B46" s="526" t="s">
        <v>545</v>
      </c>
      <c r="C46" s="526" t="s">
        <v>546</v>
      </c>
      <c r="D46" s="526" t="s">
        <v>438</v>
      </c>
      <c r="E46" s="526" t="s">
        <v>439</v>
      </c>
      <c r="H46" s="530">
        <v>8755</v>
      </c>
      <c r="I46" s="525" t="s">
        <v>448</v>
      </c>
      <c r="J46" s="525" t="s">
        <v>547</v>
      </c>
      <c r="K46" s="530">
        <v>262650</v>
      </c>
      <c r="L46" s="530">
        <v>0</v>
      </c>
      <c r="M46" s="530">
        <v>21888</v>
      </c>
      <c r="N46" s="530">
        <v>240763</v>
      </c>
      <c r="O46" s="530">
        <v>0</v>
      </c>
      <c r="P46" s="530">
        <v>0</v>
      </c>
      <c r="Q46" s="530">
        <v>0</v>
      </c>
      <c r="R46" s="530">
        <v>0</v>
      </c>
      <c r="S46" s="530">
        <v>240763</v>
      </c>
      <c r="T46" s="530">
        <v>612850</v>
      </c>
      <c r="U46" s="530">
        <v>243300</v>
      </c>
      <c r="V46" s="530">
        <v>0</v>
      </c>
      <c r="W46" s="530">
        <v>-615388</v>
      </c>
    </row>
    <row r="47" spans="1:23" x14ac:dyDescent="0.3">
      <c r="A47" s="176">
        <f t="shared" si="1"/>
        <v>1</v>
      </c>
      <c r="B47" s="526" t="s">
        <v>548</v>
      </c>
      <c r="C47" s="526" t="s">
        <v>546</v>
      </c>
      <c r="D47" s="526" t="s">
        <v>438</v>
      </c>
      <c r="E47" s="526" t="s">
        <v>439</v>
      </c>
      <c r="H47" s="530">
        <v>8730</v>
      </c>
      <c r="I47" s="525" t="s">
        <v>448</v>
      </c>
      <c r="J47" s="525" t="s">
        <v>549</v>
      </c>
      <c r="K47" s="530">
        <v>244440</v>
      </c>
      <c r="L47" s="530">
        <v>0</v>
      </c>
      <c r="M47" s="530">
        <v>20370</v>
      </c>
      <c r="N47" s="530">
        <v>224070</v>
      </c>
      <c r="O47" s="530">
        <v>0</v>
      </c>
      <c r="P47" s="530">
        <v>0</v>
      </c>
      <c r="Q47" s="530">
        <v>0</v>
      </c>
      <c r="R47" s="530">
        <v>0</v>
      </c>
      <c r="S47" s="530">
        <v>224070</v>
      </c>
      <c r="T47" s="530">
        <v>654750</v>
      </c>
      <c r="U47" s="530">
        <v>20851</v>
      </c>
      <c r="V47" s="530">
        <v>0</v>
      </c>
      <c r="W47" s="530">
        <v>-451531</v>
      </c>
    </row>
    <row r="48" spans="1:23" x14ac:dyDescent="0.3">
      <c r="A48" s="176">
        <f t="shared" si="1"/>
        <v>1</v>
      </c>
      <c r="B48" s="526" t="s">
        <v>550</v>
      </c>
      <c r="C48" s="526" t="s">
        <v>437</v>
      </c>
      <c r="D48" s="526" t="s">
        <v>438</v>
      </c>
      <c r="E48" s="526" t="s">
        <v>439</v>
      </c>
      <c r="H48" s="530">
        <v>2789</v>
      </c>
      <c r="I48" s="525" t="s">
        <v>551</v>
      </c>
      <c r="J48" s="525" t="s">
        <v>552</v>
      </c>
      <c r="K48" s="530">
        <v>164597</v>
      </c>
      <c r="L48" s="530">
        <v>0</v>
      </c>
      <c r="M48" s="530">
        <v>0</v>
      </c>
      <c r="N48" s="530">
        <v>164597</v>
      </c>
      <c r="O48" s="530">
        <v>0</v>
      </c>
      <c r="P48" s="530">
        <v>0</v>
      </c>
      <c r="Q48" s="530">
        <v>0</v>
      </c>
      <c r="R48" s="530">
        <v>5492</v>
      </c>
      <c r="S48" s="530">
        <v>170089</v>
      </c>
      <c r="T48" s="530">
        <v>0</v>
      </c>
      <c r="U48" s="530">
        <v>0</v>
      </c>
      <c r="V48" s="530">
        <v>0</v>
      </c>
      <c r="W48" s="530">
        <v>170089</v>
      </c>
    </row>
    <row r="49" spans="1:23" x14ac:dyDescent="0.3">
      <c r="A49" s="176">
        <f t="shared" si="1"/>
        <v>1</v>
      </c>
      <c r="B49" s="526" t="s">
        <v>553</v>
      </c>
      <c r="C49" s="526" t="s">
        <v>437</v>
      </c>
      <c r="D49" s="526" t="s">
        <v>438</v>
      </c>
      <c r="E49" s="526" t="s">
        <v>439</v>
      </c>
      <c r="H49" s="530">
        <v>500</v>
      </c>
      <c r="I49" s="525" t="s">
        <v>554</v>
      </c>
      <c r="J49" s="525" t="s">
        <v>555</v>
      </c>
      <c r="K49" s="530">
        <v>27868</v>
      </c>
      <c r="L49" s="530">
        <v>0</v>
      </c>
      <c r="M49" s="530">
        <v>0</v>
      </c>
      <c r="N49" s="530">
        <v>27868</v>
      </c>
      <c r="O49" s="530">
        <v>0</v>
      </c>
      <c r="P49" s="530">
        <v>0</v>
      </c>
      <c r="Q49" s="530">
        <v>0</v>
      </c>
      <c r="R49" s="530">
        <v>2485</v>
      </c>
      <c r="S49" s="530">
        <v>30352</v>
      </c>
      <c r="T49" s="530">
        <v>0</v>
      </c>
      <c r="U49" s="530">
        <v>0</v>
      </c>
      <c r="V49" s="530">
        <v>0</v>
      </c>
      <c r="W49" s="530">
        <v>30352</v>
      </c>
    </row>
    <row r="50" spans="1:23" x14ac:dyDescent="0.3">
      <c r="A50" s="176">
        <f t="shared" si="1"/>
        <v>1</v>
      </c>
      <c r="B50" s="526" t="s">
        <v>556</v>
      </c>
      <c r="C50" s="526" t="s">
        <v>557</v>
      </c>
      <c r="D50" s="526" t="s">
        <v>438</v>
      </c>
      <c r="E50" s="526" t="s">
        <v>439</v>
      </c>
      <c r="H50" s="530">
        <v>4272</v>
      </c>
      <c r="I50" s="525" t="s">
        <v>558</v>
      </c>
      <c r="J50" s="525" t="s">
        <v>559</v>
      </c>
      <c r="K50" s="530">
        <v>194928</v>
      </c>
      <c r="L50" s="530">
        <v>0</v>
      </c>
      <c r="M50" s="530">
        <v>0</v>
      </c>
      <c r="N50" s="530">
        <v>194928</v>
      </c>
      <c r="O50" s="530">
        <v>0</v>
      </c>
      <c r="P50" s="530">
        <v>0</v>
      </c>
      <c r="Q50" s="530">
        <v>0</v>
      </c>
      <c r="R50" s="530">
        <v>38316</v>
      </c>
      <c r="S50" s="530">
        <v>233244</v>
      </c>
      <c r="T50" s="530">
        <v>0</v>
      </c>
      <c r="U50" s="530">
        <v>0</v>
      </c>
      <c r="V50" s="530">
        <v>0</v>
      </c>
      <c r="W50" s="530">
        <v>233244</v>
      </c>
    </row>
    <row r="51" spans="1:23" x14ac:dyDescent="0.3">
      <c r="A51" s="176">
        <f t="shared" si="1"/>
        <v>1</v>
      </c>
      <c r="B51" s="526" t="s">
        <v>560</v>
      </c>
      <c r="C51" s="526" t="s">
        <v>561</v>
      </c>
      <c r="D51" s="526" t="s">
        <v>438</v>
      </c>
      <c r="E51" s="526" t="s">
        <v>439</v>
      </c>
      <c r="H51" s="530">
        <v>7989</v>
      </c>
      <c r="I51" s="525" t="s">
        <v>448</v>
      </c>
      <c r="J51" s="525" t="s">
        <v>562</v>
      </c>
      <c r="K51" s="530">
        <v>271626</v>
      </c>
      <c r="L51" s="530">
        <v>0</v>
      </c>
      <c r="M51" s="530">
        <v>22636</v>
      </c>
      <c r="N51" s="530">
        <v>248991</v>
      </c>
      <c r="O51" s="530">
        <v>0</v>
      </c>
      <c r="P51" s="530">
        <v>0</v>
      </c>
      <c r="Q51" s="530">
        <v>0</v>
      </c>
      <c r="R51" s="530">
        <v>0</v>
      </c>
      <c r="S51" s="530">
        <v>248991</v>
      </c>
      <c r="T51" s="530">
        <v>479340</v>
      </c>
      <c r="U51" s="530">
        <v>407612</v>
      </c>
      <c r="V51" s="530">
        <v>0</v>
      </c>
      <c r="W51" s="530">
        <v>-637961</v>
      </c>
    </row>
    <row r="52" spans="1:23" x14ac:dyDescent="0.3">
      <c r="A52" s="176">
        <f t="shared" si="1"/>
        <v>1</v>
      </c>
      <c r="B52" s="526" t="s">
        <v>563</v>
      </c>
      <c r="C52" s="526" t="s">
        <v>477</v>
      </c>
      <c r="D52" s="526" t="s">
        <v>438</v>
      </c>
      <c r="E52" s="526" t="s">
        <v>439</v>
      </c>
      <c r="H52" s="530">
        <v>1535</v>
      </c>
      <c r="I52" s="525" t="s">
        <v>564</v>
      </c>
      <c r="J52" s="525" t="s">
        <v>565</v>
      </c>
      <c r="K52" s="530">
        <v>74606</v>
      </c>
      <c r="L52" s="530">
        <v>0</v>
      </c>
      <c r="M52" s="530">
        <v>0</v>
      </c>
      <c r="N52" s="530">
        <v>74606</v>
      </c>
      <c r="O52" s="530">
        <v>0</v>
      </c>
      <c r="P52" s="530">
        <v>0</v>
      </c>
      <c r="Q52" s="530">
        <v>0</v>
      </c>
      <c r="R52" s="530">
        <v>4558</v>
      </c>
      <c r="S52" s="530">
        <v>79164</v>
      </c>
      <c r="T52" s="530">
        <v>0</v>
      </c>
      <c r="U52" s="530">
        <v>0</v>
      </c>
      <c r="V52" s="530">
        <v>0</v>
      </c>
      <c r="W52" s="530">
        <v>79164</v>
      </c>
    </row>
    <row r="53" spans="1:23" x14ac:dyDescent="0.3">
      <c r="A53" s="176">
        <f t="shared" si="1"/>
        <v>1</v>
      </c>
      <c r="B53" s="526" t="s">
        <v>566</v>
      </c>
      <c r="C53" s="526" t="s">
        <v>437</v>
      </c>
      <c r="D53" s="526" t="s">
        <v>438</v>
      </c>
      <c r="E53" s="526" t="s">
        <v>439</v>
      </c>
      <c r="H53" s="530">
        <v>500</v>
      </c>
      <c r="I53" s="525" t="s">
        <v>567</v>
      </c>
      <c r="J53" s="525" t="s">
        <v>568</v>
      </c>
      <c r="K53" s="530">
        <v>30093</v>
      </c>
      <c r="L53" s="530">
        <v>0</v>
      </c>
      <c r="M53" s="530">
        <v>0</v>
      </c>
      <c r="N53" s="530">
        <v>30093</v>
      </c>
      <c r="O53" s="530">
        <v>0</v>
      </c>
      <c r="P53" s="530">
        <v>0</v>
      </c>
      <c r="Q53" s="530">
        <v>0</v>
      </c>
      <c r="R53" s="530">
        <v>1485</v>
      </c>
      <c r="S53" s="530">
        <v>31577</v>
      </c>
      <c r="T53" s="530">
        <v>0</v>
      </c>
      <c r="U53" s="530">
        <v>0</v>
      </c>
      <c r="V53" s="530">
        <v>0</v>
      </c>
      <c r="W53" s="530">
        <v>31577</v>
      </c>
    </row>
    <row r="54" spans="1:23" x14ac:dyDescent="0.3">
      <c r="A54" s="176">
        <f t="shared" si="1"/>
        <v>1</v>
      </c>
      <c r="B54" s="526" t="s">
        <v>569</v>
      </c>
      <c r="C54" s="526" t="s">
        <v>488</v>
      </c>
      <c r="D54" s="526" t="s">
        <v>438</v>
      </c>
      <c r="E54" s="526" t="s">
        <v>439</v>
      </c>
      <c r="H54" s="530">
        <v>9170</v>
      </c>
      <c r="I54" s="525" t="s">
        <v>570</v>
      </c>
      <c r="J54" s="525" t="s">
        <v>571</v>
      </c>
      <c r="K54" s="530">
        <v>430987</v>
      </c>
      <c r="L54" s="530">
        <v>0</v>
      </c>
      <c r="M54" s="530">
        <v>0</v>
      </c>
      <c r="N54" s="530">
        <v>430987</v>
      </c>
      <c r="O54" s="530">
        <v>0</v>
      </c>
      <c r="P54" s="530">
        <v>0</v>
      </c>
      <c r="Q54" s="530">
        <v>0</v>
      </c>
      <c r="R54" s="530">
        <v>73076</v>
      </c>
      <c r="S54" s="530">
        <v>504063</v>
      </c>
      <c r="T54" s="530">
        <v>0</v>
      </c>
      <c r="U54" s="530">
        <v>0</v>
      </c>
      <c r="V54" s="530">
        <v>0</v>
      </c>
      <c r="W54" s="530">
        <v>504063</v>
      </c>
    </row>
    <row r="55" spans="1:23" x14ac:dyDescent="0.3">
      <c r="A55" s="176">
        <f t="shared" si="1"/>
        <v>1</v>
      </c>
      <c r="B55" s="526" t="s">
        <v>572</v>
      </c>
      <c r="C55" s="526" t="s">
        <v>573</v>
      </c>
      <c r="D55" s="526" t="s">
        <v>438</v>
      </c>
      <c r="E55" s="526" t="s">
        <v>439</v>
      </c>
      <c r="H55" s="530">
        <v>156187</v>
      </c>
      <c r="I55" s="525" t="s">
        <v>574</v>
      </c>
      <c r="J55" s="525" t="s">
        <v>575</v>
      </c>
      <c r="K55" s="530">
        <v>16628778</v>
      </c>
      <c r="L55" s="530">
        <v>0</v>
      </c>
      <c r="M55" s="530">
        <v>0</v>
      </c>
      <c r="N55" s="530">
        <v>16628778</v>
      </c>
      <c r="O55" s="530">
        <v>0</v>
      </c>
      <c r="P55" s="530">
        <v>0</v>
      </c>
      <c r="Q55" s="530">
        <v>0</v>
      </c>
      <c r="R55" s="530">
        <v>1244665</v>
      </c>
      <c r="S55" s="530">
        <v>17873444</v>
      </c>
      <c r="T55" s="530">
        <v>0</v>
      </c>
      <c r="U55" s="530">
        <v>0</v>
      </c>
      <c r="V55" s="530">
        <v>0</v>
      </c>
      <c r="W55" s="530">
        <v>17873444</v>
      </c>
    </row>
    <row r="56" spans="1:23" x14ac:dyDescent="0.3">
      <c r="A56" s="176">
        <f t="shared" si="1"/>
        <v>1</v>
      </c>
      <c r="B56" s="526" t="s">
        <v>576</v>
      </c>
      <c r="C56" s="526" t="s">
        <v>573</v>
      </c>
      <c r="D56" s="526" t="s">
        <v>438</v>
      </c>
      <c r="E56" s="526" t="s">
        <v>439</v>
      </c>
      <c r="H56" s="530">
        <v>119226</v>
      </c>
      <c r="I56" s="525" t="s">
        <v>577</v>
      </c>
      <c r="J56" s="525" t="s">
        <v>472</v>
      </c>
      <c r="K56" s="530">
        <v>7630464</v>
      </c>
      <c r="L56" s="530">
        <v>0</v>
      </c>
      <c r="M56" s="530">
        <v>0</v>
      </c>
      <c r="N56" s="530">
        <v>7630464</v>
      </c>
      <c r="O56" s="530">
        <v>0</v>
      </c>
      <c r="P56" s="530">
        <v>0</v>
      </c>
      <c r="Q56" s="530">
        <v>0</v>
      </c>
      <c r="R56" s="530">
        <v>0</v>
      </c>
      <c r="S56" s="530">
        <v>7630464</v>
      </c>
      <c r="T56" s="530">
        <v>0</v>
      </c>
      <c r="U56" s="530">
        <v>0</v>
      </c>
      <c r="V56" s="530">
        <v>0</v>
      </c>
      <c r="W56" s="530">
        <v>7630464</v>
      </c>
    </row>
    <row r="57" spans="1:23" x14ac:dyDescent="0.3">
      <c r="A57" s="176">
        <f t="shared" si="1"/>
        <v>1</v>
      </c>
      <c r="B57" s="526" t="s">
        <v>578</v>
      </c>
      <c r="C57" s="526" t="s">
        <v>477</v>
      </c>
      <c r="D57" s="526" t="s">
        <v>438</v>
      </c>
      <c r="E57" s="526" t="s">
        <v>439</v>
      </c>
      <c r="H57" s="530">
        <v>475</v>
      </c>
      <c r="I57" s="525" t="s">
        <v>456</v>
      </c>
      <c r="J57" s="525" t="s">
        <v>490</v>
      </c>
      <c r="K57" s="530">
        <v>20888</v>
      </c>
      <c r="L57" s="530">
        <v>0</v>
      </c>
      <c r="M57" s="530">
        <v>0</v>
      </c>
      <c r="N57" s="530">
        <v>20888</v>
      </c>
      <c r="O57" s="530">
        <v>0</v>
      </c>
      <c r="P57" s="530">
        <v>0</v>
      </c>
      <c r="Q57" s="530">
        <v>0</v>
      </c>
      <c r="R57" s="530">
        <v>0</v>
      </c>
      <c r="S57" s="530">
        <v>20888</v>
      </c>
      <c r="T57" s="530">
        <v>0</v>
      </c>
      <c r="U57" s="530">
        <v>0</v>
      </c>
      <c r="V57" s="530">
        <v>0</v>
      </c>
      <c r="W57" s="530">
        <v>20888</v>
      </c>
    </row>
    <row r="58" spans="1:23" x14ac:dyDescent="0.3">
      <c r="A58" s="176">
        <f t="shared" si="1"/>
        <v>1</v>
      </c>
      <c r="B58" s="526" t="s">
        <v>579</v>
      </c>
      <c r="C58" s="526" t="s">
        <v>447</v>
      </c>
      <c r="D58" s="526" t="s">
        <v>438</v>
      </c>
      <c r="E58" s="526" t="s">
        <v>439</v>
      </c>
      <c r="H58" s="530">
        <v>475</v>
      </c>
      <c r="I58" s="525" t="s">
        <v>567</v>
      </c>
      <c r="J58" s="525" t="s">
        <v>580</v>
      </c>
      <c r="K58" s="530">
        <v>20351</v>
      </c>
      <c r="L58" s="530">
        <v>0</v>
      </c>
      <c r="M58" s="530">
        <v>0</v>
      </c>
      <c r="N58" s="530">
        <v>20351</v>
      </c>
      <c r="O58" s="530">
        <v>0</v>
      </c>
      <c r="P58" s="530">
        <v>0</v>
      </c>
      <c r="Q58" s="530">
        <v>0</v>
      </c>
      <c r="R58" s="530">
        <v>3310</v>
      </c>
      <c r="S58" s="530">
        <v>23661</v>
      </c>
      <c r="T58" s="530">
        <v>0</v>
      </c>
      <c r="U58" s="530">
        <v>0</v>
      </c>
      <c r="V58" s="530">
        <v>0</v>
      </c>
      <c r="W58" s="530">
        <v>23661</v>
      </c>
    </row>
    <row r="59" spans="1:23" x14ac:dyDescent="0.3">
      <c r="A59" s="176">
        <f t="shared" si="1"/>
        <v>1</v>
      </c>
      <c r="B59" s="526" t="s">
        <v>581</v>
      </c>
      <c r="C59" s="526" t="s">
        <v>437</v>
      </c>
      <c r="D59" s="526" t="s">
        <v>438</v>
      </c>
      <c r="E59" s="526" t="s">
        <v>439</v>
      </c>
      <c r="H59" s="530">
        <v>500</v>
      </c>
      <c r="I59" s="525" t="s">
        <v>456</v>
      </c>
      <c r="J59" s="525" t="s">
        <v>582</v>
      </c>
      <c r="K59" s="530">
        <v>30680</v>
      </c>
      <c r="L59" s="530">
        <v>0</v>
      </c>
      <c r="M59" s="530">
        <v>0</v>
      </c>
      <c r="N59" s="530">
        <v>30680</v>
      </c>
      <c r="O59" s="530">
        <v>0</v>
      </c>
      <c r="P59" s="530">
        <v>0</v>
      </c>
      <c r="Q59" s="530">
        <v>0</v>
      </c>
      <c r="R59" s="530">
        <v>0</v>
      </c>
      <c r="S59" s="530">
        <v>30680</v>
      </c>
      <c r="T59" s="530">
        <v>0</v>
      </c>
      <c r="U59" s="530">
        <v>0</v>
      </c>
      <c r="V59" s="530">
        <v>0</v>
      </c>
      <c r="W59" s="530">
        <v>30680</v>
      </c>
    </row>
    <row r="60" spans="1:23" x14ac:dyDescent="0.3">
      <c r="A60" s="176">
        <f t="shared" si="1"/>
        <v>1</v>
      </c>
      <c r="B60" s="526" t="s">
        <v>583</v>
      </c>
      <c r="C60" s="526" t="s">
        <v>510</v>
      </c>
      <c r="D60" s="526" t="s">
        <v>438</v>
      </c>
      <c r="E60" s="526" t="s">
        <v>439</v>
      </c>
      <c r="H60" s="530">
        <v>475</v>
      </c>
      <c r="I60" s="525" t="s">
        <v>584</v>
      </c>
      <c r="J60" s="525" t="s">
        <v>585</v>
      </c>
      <c r="K60" s="530">
        <v>31185</v>
      </c>
      <c r="L60" s="530">
        <v>12865</v>
      </c>
      <c r="M60" s="530">
        <v>7204</v>
      </c>
      <c r="N60" s="530">
        <v>11117</v>
      </c>
      <c r="O60" s="530">
        <v>0</v>
      </c>
      <c r="P60" s="530">
        <v>0</v>
      </c>
      <c r="Q60" s="530">
        <v>0</v>
      </c>
      <c r="R60" s="530">
        <v>0</v>
      </c>
      <c r="S60" s="530">
        <v>11117</v>
      </c>
      <c r="T60" s="530">
        <v>25650</v>
      </c>
      <c r="U60" s="530">
        <v>13264</v>
      </c>
      <c r="V60" s="530">
        <v>0</v>
      </c>
      <c r="W60" s="530">
        <v>-27798</v>
      </c>
    </row>
    <row r="61" spans="1:23" x14ac:dyDescent="0.3">
      <c r="A61" s="176">
        <f t="shared" si="1"/>
        <v>1</v>
      </c>
      <c r="B61" s="526" t="s">
        <v>586</v>
      </c>
      <c r="C61" s="526" t="s">
        <v>466</v>
      </c>
      <c r="D61" s="526" t="s">
        <v>438</v>
      </c>
      <c r="E61" s="526" t="s">
        <v>439</v>
      </c>
      <c r="H61" s="530">
        <v>3932</v>
      </c>
      <c r="I61" s="525" t="s">
        <v>485</v>
      </c>
      <c r="J61" s="525" t="s">
        <v>587</v>
      </c>
      <c r="K61" s="530">
        <v>178441</v>
      </c>
      <c r="L61" s="530">
        <v>0</v>
      </c>
      <c r="M61" s="530">
        <v>0</v>
      </c>
      <c r="N61" s="530">
        <v>178441</v>
      </c>
      <c r="O61" s="530">
        <v>0</v>
      </c>
      <c r="P61" s="530">
        <v>0</v>
      </c>
      <c r="Q61" s="530">
        <v>0</v>
      </c>
      <c r="R61" s="530">
        <v>15606</v>
      </c>
      <c r="S61" s="530">
        <v>194047</v>
      </c>
      <c r="T61" s="530">
        <v>0</v>
      </c>
      <c r="U61" s="530">
        <v>0</v>
      </c>
      <c r="V61" s="530">
        <v>0</v>
      </c>
      <c r="W61" s="530">
        <v>194047</v>
      </c>
    </row>
    <row r="62" spans="1:23" x14ac:dyDescent="0.3">
      <c r="A62" s="176">
        <f t="shared" si="1"/>
        <v>1</v>
      </c>
      <c r="B62" s="526" t="s">
        <v>339</v>
      </c>
      <c r="C62" s="526" t="s">
        <v>437</v>
      </c>
      <c r="D62" s="526" t="s">
        <v>438</v>
      </c>
      <c r="E62" s="526" t="s">
        <v>439</v>
      </c>
      <c r="H62" s="530">
        <v>3000</v>
      </c>
      <c r="I62" s="525" t="s">
        <v>511</v>
      </c>
      <c r="J62" s="525" t="s">
        <v>588</v>
      </c>
      <c r="K62" s="530">
        <v>151927</v>
      </c>
      <c r="L62" s="530">
        <v>0</v>
      </c>
      <c r="M62" s="530">
        <v>0</v>
      </c>
      <c r="N62" s="530">
        <v>151927</v>
      </c>
      <c r="O62" s="530">
        <v>0</v>
      </c>
      <c r="P62" s="530">
        <v>0</v>
      </c>
      <c r="Q62" s="530">
        <v>0</v>
      </c>
      <c r="R62" s="530">
        <v>0</v>
      </c>
      <c r="S62" s="530">
        <v>151927</v>
      </c>
      <c r="T62" s="530">
        <v>0</v>
      </c>
      <c r="U62" s="530">
        <v>0</v>
      </c>
      <c r="V62" s="530">
        <v>0</v>
      </c>
      <c r="W62" s="530">
        <v>151927</v>
      </c>
    </row>
    <row r="63" spans="1:23" x14ac:dyDescent="0.3">
      <c r="A63" s="176">
        <f t="shared" si="1"/>
        <v>1</v>
      </c>
      <c r="B63" s="526" t="s">
        <v>589</v>
      </c>
      <c r="C63" s="526" t="s">
        <v>590</v>
      </c>
      <c r="D63" s="526" t="s">
        <v>438</v>
      </c>
      <c r="E63" s="526" t="s">
        <v>439</v>
      </c>
      <c r="H63" s="530">
        <v>2983</v>
      </c>
      <c r="I63" s="525" t="s">
        <v>591</v>
      </c>
      <c r="J63" s="525" t="s">
        <v>592</v>
      </c>
      <c r="K63" s="530">
        <v>143344</v>
      </c>
      <c r="L63" s="530">
        <v>0</v>
      </c>
      <c r="M63" s="530">
        <v>0</v>
      </c>
      <c r="N63" s="530">
        <v>143344</v>
      </c>
      <c r="O63" s="530">
        <v>0</v>
      </c>
      <c r="P63" s="530">
        <v>0</v>
      </c>
      <c r="Q63" s="530">
        <v>0</v>
      </c>
      <c r="R63" s="530">
        <v>17806</v>
      </c>
      <c r="S63" s="530">
        <v>161150</v>
      </c>
      <c r="T63" s="530">
        <v>0</v>
      </c>
      <c r="U63" s="530">
        <v>0</v>
      </c>
      <c r="V63" s="530">
        <v>0</v>
      </c>
      <c r="W63" s="530">
        <v>161150</v>
      </c>
    </row>
    <row r="64" spans="1:23" x14ac:dyDescent="0.3">
      <c r="A64" s="176">
        <f t="shared" si="1"/>
        <v>1</v>
      </c>
      <c r="B64" s="526" t="s">
        <v>593</v>
      </c>
      <c r="C64" s="526" t="s">
        <v>594</v>
      </c>
      <c r="D64" s="526" t="s">
        <v>438</v>
      </c>
      <c r="E64" s="526" t="s">
        <v>439</v>
      </c>
      <c r="H64" s="530">
        <v>13879</v>
      </c>
      <c r="I64" s="525" t="s">
        <v>448</v>
      </c>
      <c r="J64" s="525" t="s">
        <v>595</v>
      </c>
      <c r="K64" s="530">
        <v>249822</v>
      </c>
      <c r="L64" s="530">
        <v>0</v>
      </c>
      <c r="M64" s="530">
        <v>41637</v>
      </c>
      <c r="N64" s="530">
        <v>208185</v>
      </c>
      <c r="O64" s="530">
        <v>0</v>
      </c>
      <c r="P64" s="530">
        <v>0</v>
      </c>
      <c r="Q64" s="530">
        <v>0</v>
      </c>
      <c r="R64" s="530">
        <v>0</v>
      </c>
      <c r="S64" s="530">
        <v>208185</v>
      </c>
      <c r="T64" s="530">
        <v>1040925</v>
      </c>
      <c r="U64" s="530">
        <v>300478</v>
      </c>
      <c r="V64" s="530">
        <v>0</v>
      </c>
      <c r="W64" s="530">
        <v>-1133218</v>
      </c>
    </row>
    <row r="65" spans="1:23" ht="20.399999999999999" x14ac:dyDescent="0.3">
      <c r="A65" s="176">
        <f t="shared" si="1"/>
        <v>1</v>
      </c>
      <c r="B65" s="526" t="s">
        <v>596</v>
      </c>
      <c r="C65" s="526" t="s">
        <v>597</v>
      </c>
      <c r="D65" s="526" t="s">
        <v>438</v>
      </c>
      <c r="E65" s="526" t="s">
        <v>439</v>
      </c>
      <c r="H65" s="530">
        <v>15000</v>
      </c>
      <c r="I65" s="525" t="s">
        <v>598</v>
      </c>
      <c r="J65" s="525" t="s">
        <v>571</v>
      </c>
      <c r="K65" s="530">
        <v>1303639</v>
      </c>
      <c r="L65" s="530">
        <v>0</v>
      </c>
      <c r="M65" s="530">
        <v>0</v>
      </c>
      <c r="N65" s="530">
        <v>1303639</v>
      </c>
      <c r="O65" s="530">
        <v>0</v>
      </c>
      <c r="P65" s="530">
        <v>0</v>
      </c>
      <c r="Q65" s="530">
        <v>0</v>
      </c>
      <c r="R65" s="530">
        <v>0</v>
      </c>
      <c r="S65" s="530">
        <v>1303639</v>
      </c>
      <c r="T65" s="530">
        <v>0</v>
      </c>
      <c r="U65" s="530">
        <v>0</v>
      </c>
      <c r="V65" s="530">
        <v>0</v>
      </c>
      <c r="W65" s="530">
        <v>1303639</v>
      </c>
    </row>
    <row r="66" spans="1:23" x14ac:dyDescent="0.3">
      <c r="A66" s="176">
        <f t="shared" si="1"/>
        <v>1</v>
      </c>
      <c r="B66" s="526" t="s">
        <v>599</v>
      </c>
      <c r="C66" s="526" t="s">
        <v>462</v>
      </c>
      <c r="D66" s="526" t="s">
        <v>438</v>
      </c>
      <c r="E66" s="526" t="s">
        <v>439</v>
      </c>
      <c r="H66" s="530">
        <v>4550</v>
      </c>
      <c r="I66" s="525" t="s">
        <v>600</v>
      </c>
      <c r="J66" s="525" t="s">
        <v>601</v>
      </c>
      <c r="K66" s="530">
        <v>185199</v>
      </c>
      <c r="L66" s="530">
        <v>0</v>
      </c>
      <c r="M66" s="530">
        <v>0</v>
      </c>
      <c r="N66" s="530">
        <v>185199</v>
      </c>
      <c r="O66" s="530">
        <v>0</v>
      </c>
      <c r="P66" s="530">
        <v>0</v>
      </c>
      <c r="Q66" s="530">
        <v>0</v>
      </c>
      <c r="R66" s="530">
        <v>0</v>
      </c>
      <c r="S66" s="530">
        <v>185199</v>
      </c>
      <c r="T66" s="530">
        <v>0</v>
      </c>
      <c r="U66" s="530">
        <v>0</v>
      </c>
      <c r="V66" s="530">
        <v>0</v>
      </c>
      <c r="W66" s="530">
        <v>185199</v>
      </c>
    </row>
    <row r="67" spans="1:23" x14ac:dyDescent="0.3">
      <c r="A67" s="176">
        <f t="shared" si="1"/>
        <v>1</v>
      </c>
      <c r="B67" s="526" t="s">
        <v>602</v>
      </c>
      <c r="C67" s="526" t="s">
        <v>603</v>
      </c>
      <c r="D67" s="526" t="s">
        <v>438</v>
      </c>
      <c r="E67" s="526" t="s">
        <v>439</v>
      </c>
      <c r="H67" s="530">
        <v>3612</v>
      </c>
      <c r="I67" s="525" t="s">
        <v>604</v>
      </c>
      <c r="J67" s="525" t="s">
        <v>605</v>
      </c>
      <c r="K67" s="530">
        <v>180369</v>
      </c>
      <c r="L67" s="530">
        <v>0</v>
      </c>
      <c r="M67" s="530">
        <v>0</v>
      </c>
      <c r="N67" s="530">
        <v>180369</v>
      </c>
      <c r="O67" s="530">
        <v>0</v>
      </c>
      <c r="P67" s="530">
        <v>0</v>
      </c>
      <c r="Q67" s="530">
        <v>0</v>
      </c>
      <c r="R67" s="530">
        <v>0</v>
      </c>
      <c r="S67" s="530">
        <v>180369</v>
      </c>
      <c r="T67" s="530">
        <v>0</v>
      </c>
      <c r="U67" s="530">
        <v>0</v>
      </c>
      <c r="V67" s="530">
        <v>0</v>
      </c>
      <c r="W67" s="530">
        <v>180369</v>
      </c>
    </row>
    <row r="68" spans="1:23" x14ac:dyDescent="0.3">
      <c r="A68" s="176">
        <f t="shared" si="1"/>
        <v>1</v>
      </c>
      <c r="B68" s="526" t="s">
        <v>606</v>
      </c>
      <c r="C68" s="526" t="s">
        <v>492</v>
      </c>
      <c r="D68" s="526" t="s">
        <v>438</v>
      </c>
      <c r="E68" s="526" t="s">
        <v>439</v>
      </c>
      <c r="H68" s="530">
        <v>1972</v>
      </c>
      <c r="I68" s="525" t="s">
        <v>607</v>
      </c>
      <c r="J68" s="525" t="s">
        <v>608</v>
      </c>
      <c r="K68" s="530">
        <v>89419</v>
      </c>
      <c r="L68" s="530">
        <v>0</v>
      </c>
      <c r="M68" s="530">
        <v>0</v>
      </c>
      <c r="N68" s="530">
        <v>89419</v>
      </c>
      <c r="O68" s="530">
        <v>0</v>
      </c>
      <c r="P68" s="530">
        <v>0</v>
      </c>
      <c r="Q68" s="530">
        <v>0</v>
      </c>
      <c r="R68" s="530">
        <v>7827</v>
      </c>
      <c r="S68" s="530">
        <v>97246</v>
      </c>
      <c r="T68" s="530">
        <v>0</v>
      </c>
      <c r="U68" s="530">
        <v>0</v>
      </c>
      <c r="V68" s="530">
        <v>0</v>
      </c>
      <c r="W68" s="530">
        <v>97246</v>
      </c>
    </row>
    <row r="69" spans="1:23" x14ac:dyDescent="0.3">
      <c r="A69" s="176">
        <f t="shared" si="1"/>
        <v>1</v>
      </c>
      <c r="B69" s="526" t="s">
        <v>609</v>
      </c>
      <c r="C69" s="526" t="s">
        <v>495</v>
      </c>
      <c r="D69" s="526" t="s">
        <v>438</v>
      </c>
      <c r="E69" s="526" t="s">
        <v>439</v>
      </c>
      <c r="H69" s="530">
        <v>1424</v>
      </c>
      <c r="I69" s="525" t="s">
        <v>610</v>
      </c>
      <c r="J69" s="525" t="s">
        <v>611</v>
      </c>
      <c r="K69" s="530">
        <v>65492</v>
      </c>
      <c r="L69" s="530">
        <v>15427</v>
      </c>
      <c r="M69" s="530">
        <v>0</v>
      </c>
      <c r="N69" s="530">
        <v>50065</v>
      </c>
      <c r="O69" s="530">
        <v>0</v>
      </c>
      <c r="P69" s="530">
        <v>0</v>
      </c>
      <c r="Q69" s="530">
        <v>0</v>
      </c>
      <c r="R69" s="530">
        <v>0</v>
      </c>
      <c r="S69" s="530">
        <v>50065</v>
      </c>
      <c r="T69" s="530">
        <v>0</v>
      </c>
      <c r="U69" s="530">
        <v>0</v>
      </c>
      <c r="V69" s="530">
        <v>0</v>
      </c>
      <c r="W69" s="530">
        <v>50065</v>
      </c>
    </row>
    <row r="70" spans="1:23" x14ac:dyDescent="0.3">
      <c r="A70" s="176">
        <f t="shared" si="1"/>
        <v>1</v>
      </c>
      <c r="B70" s="526" t="s">
        <v>612</v>
      </c>
      <c r="C70" s="526" t="s">
        <v>613</v>
      </c>
      <c r="D70" s="526" t="s">
        <v>438</v>
      </c>
      <c r="E70" s="526" t="s">
        <v>439</v>
      </c>
      <c r="H70" s="530">
        <v>2014</v>
      </c>
      <c r="I70" s="525" t="s">
        <v>614</v>
      </c>
      <c r="J70" s="525" t="s">
        <v>460</v>
      </c>
      <c r="K70" s="530">
        <v>93468</v>
      </c>
      <c r="L70" s="530">
        <v>0</v>
      </c>
      <c r="M70" s="530">
        <v>0</v>
      </c>
      <c r="N70" s="530">
        <v>93468</v>
      </c>
      <c r="O70" s="530">
        <v>0</v>
      </c>
      <c r="P70" s="530">
        <v>0</v>
      </c>
      <c r="Q70" s="530">
        <v>0</v>
      </c>
      <c r="R70" s="530">
        <v>0</v>
      </c>
      <c r="S70" s="530">
        <v>93468</v>
      </c>
      <c r="T70" s="530">
        <v>0</v>
      </c>
      <c r="U70" s="530">
        <v>0</v>
      </c>
      <c r="V70" s="530">
        <v>0</v>
      </c>
      <c r="W70" s="530">
        <v>93468</v>
      </c>
    </row>
    <row r="71" spans="1:23" x14ac:dyDescent="0.3">
      <c r="A71" s="176">
        <f t="shared" si="1"/>
        <v>1</v>
      </c>
      <c r="B71" s="526" t="s">
        <v>615</v>
      </c>
      <c r="C71" s="526" t="s">
        <v>437</v>
      </c>
      <c r="D71" s="526" t="s">
        <v>438</v>
      </c>
      <c r="E71" s="526" t="s">
        <v>439</v>
      </c>
      <c r="H71" s="530">
        <v>500</v>
      </c>
      <c r="I71" s="525" t="s">
        <v>481</v>
      </c>
      <c r="J71" s="525" t="s">
        <v>616</v>
      </c>
      <c r="K71" s="530">
        <v>25905</v>
      </c>
      <c r="L71" s="530">
        <v>0</v>
      </c>
      <c r="M71" s="530">
        <v>0</v>
      </c>
      <c r="N71" s="530">
        <v>25905</v>
      </c>
      <c r="O71" s="530">
        <v>0</v>
      </c>
      <c r="P71" s="530">
        <v>0</v>
      </c>
      <c r="Q71" s="530">
        <v>0</v>
      </c>
      <c r="R71" s="530">
        <v>985</v>
      </c>
      <c r="S71" s="530">
        <v>26890</v>
      </c>
      <c r="T71" s="530">
        <v>0</v>
      </c>
      <c r="U71" s="530">
        <v>0</v>
      </c>
      <c r="V71" s="530">
        <v>0</v>
      </c>
      <c r="W71" s="530">
        <v>26890</v>
      </c>
    </row>
    <row r="72" spans="1:23" x14ac:dyDescent="0.3">
      <c r="A72" s="176">
        <f t="shared" si="1"/>
        <v>1</v>
      </c>
      <c r="B72" s="526" t="s">
        <v>617</v>
      </c>
      <c r="C72" s="526" t="s">
        <v>618</v>
      </c>
      <c r="D72" s="526" t="s">
        <v>438</v>
      </c>
      <c r="E72" s="526" t="s">
        <v>439</v>
      </c>
      <c r="H72" s="530">
        <v>1709</v>
      </c>
      <c r="I72" s="525" t="s">
        <v>619</v>
      </c>
      <c r="J72" s="525" t="s">
        <v>620</v>
      </c>
      <c r="K72" s="530">
        <v>88579</v>
      </c>
      <c r="L72" s="530">
        <v>0</v>
      </c>
      <c r="M72" s="530">
        <v>0</v>
      </c>
      <c r="N72" s="530">
        <v>88579</v>
      </c>
      <c r="O72" s="530">
        <v>0</v>
      </c>
      <c r="P72" s="530">
        <v>0</v>
      </c>
      <c r="Q72" s="530">
        <v>0</v>
      </c>
      <c r="R72" s="530">
        <v>15328</v>
      </c>
      <c r="S72" s="530">
        <v>103907</v>
      </c>
      <c r="T72" s="530">
        <v>0</v>
      </c>
      <c r="U72" s="530">
        <v>0</v>
      </c>
      <c r="V72" s="530">
        <v>0</v>
      </c>
      <c r="W72" s="530">
        <v>103907</v>
      </c>
    </row>
    <row r="73" spans="1:23" x14ac:dyDescent="0.3">
      <c r="A73" s="176">
        <f t="shared" si="1"/>
        <v>1</v>
      </c>
      <c r="B73" s="526" t="s">
        <v>621</v>
      </c>
      <c r="C73" s="526" t="s">
        <v>622</v>
      </c>
      <c r="D73" s="526" t="s">
        <v>438</v>
      </c>
      <c r="E73" s="526" t="s">
        <v>439</v>
      </c>
      <c r="H73" s="530">
        <v>2848</v>
      </c>
      <c r="I73" s="525" t="s">
        <v>623</v>
      </c>
      <c r="J73" s="525" t="s">
        <v>624</v>
      </c>
      <c r="K73" s="530">
        <v>117763</v>
      </c>
      <c r="L73" s="530">
        <v>0</v>
      </c>
      <c r="M73" s="530">
        <v>0</v>
      </c>
      <c r="N73" s="530">
        <v>117763</v>
      </c>
      <c r="O73" s="530">
        <v>0</v>
      </c>
      <c r="P73" s="530">
        <v>0</v>
      </c>
      <c r="Q73" s="530">
        <v>0</v>
      </c>
      <c r="R73" s="530">
        <v>0</v>
      </c>
      <c r="S73" s="530">
        <v>117763</v>
      </c>
      <c r="T73" s="530">
        <v>0</v>
      </c>
      <c r="U73" s="530">
        <v>0</v>
      </c>
      <c r="V73" s="530">
        <v>0</v>
      </c>
      <c r="W73" s="530">
        <v>117763</v>
      </c>
    </row>
    <row r="74" spans="1:23" x14ac:dyDescent="0.3">
      <c r="A74" s="176">
        <f t="shared" si="1"/>
        <v>1</v>
      </c>
      <c r="B74" s="526" t="s">
        <v>625</v>
      </c>
      <c r="C74" s="526" t="s">
        <v>437</v>
      </c>
      <c r="D74" s="526" t="s">
        <v>438</v>
      </c>
      <c r="E74" s="526" t="s">
        <v>439</v>
      </c>
      <c r="H74" s="530">
        <v>500</v>
      </c>
      <c r="I74" s="525" t="s">
        <v>481</v>
      </c>
      <c r="J74" s="525" t="s">
        <v>475</v>
      </c>
      <c r="K74" s="530">
        <v>24889</v>
      </c>
      <c r="L74" s="530">
        <v>0</v>
      </c>
      <c r="M74" s="530">
        <v>0</v>
      </c>
      <c r="N74" s="530">
        <v>24889</v>
      </c>
      <c r="O74" s="530">
        <v>0</v>
      </c>
      <c r="P74" s="530">
        <v>0</v>
      </c>
      <c r="Q74" s="530">
        <v>0</v>
      </c>
      <c r="R74" s="530">
        <v>0</v>
      </c>
      <c r="S74" s="530">
        <v>24889</v>
      </c>
      <c r="T74" s="530">
        <v>0</v>
      </c>
      <c r="U74" s="530">
        <v>0</v>
      </c>
      <c r="V74" s="530">
        <v>0</v>
      </c>
      <c r="W74" s="530">
        <v>24889</v>
      </c>
    </row>
    <row r="75" spans="1:23" x14ac:dyDescent="0.3">
      <c r="A75" s="176">
        <f t="shared" si="1"/>
        <v>1</v>
      </c>
      <c r="B75" s="526" t="s">
        <v>626</v>
      </c>
      <c r="C75" s="526" t="s">
        <v>462</v>
      </c>
      <c r="D75" s="526" t="s">
        <v>438</v>
      </c>
      <c r="E75" s="526" t="s">
        <v>439</v>
      </c>
      <c r="H75" s="530">
        <v>4312</v>
      </c>
      <c r="I75" s="525" t="s">
        <v>627</v>
      </c>
      <c r="J75" s="525" t="s">
        <v>628</v>
      </c>
      <c r="K75" s="530">
        <v>217461</v>
      </c>
      <c r="L75" s="530">
        <v>0</v>
      </c>
      <c r="M75" s="530">
        <v>0</v>
      </c>
      <c r="N75" s="530">
        <v>217461</v>
      </c>
      <c r="O75" s="530">
        <v>0</v>
      </c>
      <c r="P75" s="530">
        <v>0</v>
      </c>
      <c r="Q75" s="530">
        <v>0</v>
      </c>
      <c r="R75" s="530">
        <v>38675</v>
      </c>
      <c r="S75" s="530">
        <v>256136</v>
      </c>
      <c r="T75" s="530">
        <v>0</v>
      </c>
      <c r="U75" s="530">
        <v>0</v>
      </c>
      <c r="V75" s="530">
        <v>0</v>
      </c>
      <c r="W75" s="530">
        <v>256136</v>
      </c>
    </row>
    <row r="76" spans="1:23" x14ac:dyDescent="0.3">
      <c r="A76" s="176">
        <f t="shared" si="1"/>
        <v>1</v>
      </c>
      <c r="B76" s="526" t="s">
        <v>629</v>
      </c>
      <c r="C76" s="526" t="s">
        <v>437</v>
      </c>
      <c r="D76" s="526" t="s">
        <v>438</v>
      </c>
      <c r="E76" s="526" t="s">
        <v>439</v>
      </c>
      <c r="H76" s="530">
        <v>1000</v>
      </c>
      <c r="I76" s="525" t="s">
        <v>630</v>
      </c>
      <c r="J76" s="525" t="s">
        <v>486</v>
      </c>
      <c r="K76" s="530">
        <v>47394</v>
      </c>
      <c r="L76" s="530">
        <v>0</v>
      </c>
      <c r="M76" s="530">
        <v>0</v>
      </c>
      <c r="N76" s="530">
        <v>47394</v>
      </c>
      <c r="O76" s="530">
        <v>0</v>
      </c>
      <c r="P76" s="530">
        <v>0</v>
      </c>
      <c r="Q76" s="530">
        <v>0</v>
      </c>
      <c r="R76" s="530">
        <v>7969</v>
      </c>
      <c r="S76" s="530">
        <v>55363</v>
      </c>
      <c r="T76" s="530">
        <v>0</v>
      </c>
      <c r="U76" s="530">
        <v>0</v>
      </c>
      <c r="V76" s="530">
        <v>0</v>
      </c>
      <c r="W76" s="530">
        <v>55363</v>
      </c>
    </row>
    <row r="77" spans="1:23" x14ac:dyDescent="0.3">
      <c r="A77" s="176">
        <f t="shared" ref="A77:A140" si="2">IF(E77="Contract",1,0)</f>
        <v>1</v>
      </c>
      <c r="B77" s="526" t="s">
        <v>631</v>
      </c>
      <c r="C77" s="526" t="s">
        <v>557</v>
      </c>
      <c r="D77" s="526" t="s">
        <v>438</v>
      </c>
      <c r="E77" s="526" t="s">
        <v>439</v>
      </c>
      <c r="H77" s="530">
        <v>6267</v>
      </c>
      <c r="I77" s="525" t="s">
        <v>632</v>
      </c>
      <c r="J77" s="525" t="s">
        <v>633</v>
      </c>
      <c r="K77" s="530">
        <v>315533</v>
      </c>
      <c r="L77" s="530">
        <v>0</v>
      </c>
      <c r="M77" s="530">
        <v>0</v>
      </c>
      <c r="N77" s="530">
        <v>315533</v>
      </c>
      <c r="O77" s="530">
        <v>0</v>
      </c>
      <c r="P77" s="530">
        <v>0</v>
      </c>
      <c r="Q77" s="530">
        <v>0</v>
      </c>
      <c r="R77" s="530">
        <v>56209</v>
      </c>
      <c r="S77" s="530">
        <v>371742</v>
      </c>
      <c r="T77" s="530">
        <v>0</v>
      </c>
      <c r="U77" s="530">
        <v>0</v>
      </c>
      <c r="V77" s="530">
        <v>0</v>
      </c>
      <c r="W77" s="530">
        <v>371742</v>
      </c>
    </row>
    <row r="78" spans="1:23" x14ac:dyDescent="0.3">
      <c r="A78" s="176">
        <f t="shared" si="2"/>
        <v>1</v>
      </c>
      <c r="B78" s="526" t="s">
        <v>634</v>
      </c>
      <c r="C78" s="526" t="s">
        <v>437</v>
      </c>
      <c r="D78" s="526" t="s">
        <v>438</v>
      </c>
      <c r="E78" s="526" t="s">
        <v>439</v>
      </c>
      <c r="H78" s="530">
        <v>500</v>
      </c>
      <c r="I78" s="525" t="s">
        <v>554</v>
      </c>
      <c r="J78" s="525" t="s">
        <v>502</v>
      </c>
      <c r="K78" s="530">
        <v>26854</v>
      </c>
      <c r="L78" s="530">
        <v>0</v>
      </c>
      <c r="M78" s="530">
        <v>0</v>
      </c>
      <c r="N78" s="530">
        <v>26854</v>
      </c>
      <c r="O78" s="530">
        <v>0</v>
      </c>
      <c r="P78" s="530">
        <v>0</v>
      </c>
      <c r="Q78" s="530">
        <v>0</v>
      </c>
      <c r="R78" s="530">
        <v>0</v>
      </c>
      <c r="S78" s="530">
        <v>26854</v>
      </c>
      <c r="T78" s="530">
        <v>0</v>
      </c>
      <c r="U78" s="530">
        <v>0</v>
      </c>
      <c r="V78" s="530">
        <v>0</v>
      </c>
      <c r="W78" s="530">
        <v>26854</v>
      </c>
    </row>
    <row r="79" spans="1:23" x14ac:dyDescent="0.3">
      <c r="A79" s="176">
        <f t="shared" si="2"/>
        <v>1</v>
      </c>
      <c r="B79" s="526" t="s">
        <v>635</v>
      </c>
      <c r="C79" s="526" t="s">
        <v>636</v>
      </c>
      <c r="D79" s="526" t="s">
        <v>438</v>
      </c>
      <c r="E79" s="526" t="s">
        <v>439</v>
      </c>
      <c r="H79" s="530">
        <v>8547</v>
      </c>
      <c r="I79" s="525" t="s">
        <v>637</v>
      </c>
      <c r="J79" s="525" t="s">
        <v>638</v>
      </c>
      <c r="K79" s="530">
        <v>529294</v>
      </c>
      <c r="L79" s="530">
        <v>231481</v>
      </c>
      <c r="M79" s="530">
        <v>129630</v>
      </c>
      <c r="N79" s="530">
        <v>168183</v>
      </c>
      <c r="O79" s="530">
        <v>0</v>
      </c>
      <c r="P79" s="530">
        <v>0</v>
      </c>
      <c r="Q79" s="530">
        <v>0</v>
      </c>
      <c r="R79" s="530">
        <v>19165</v>
      </c>
      <c r="S79" s="530">
        <v>187348</v>
      </c>
      <c r="T79" s="530">
        <v>461538</v>
      </c>
      <c r="U79" s="530">
        <v>238674</v>
      </c>
      <c r="V79" s="530">
        <v>0</v>
      </c>
      <c r="W79" s="530">
        <v>-512864</v>
      </c>
    </row>
    <row r="80" spans="1:23" x14ac:dyDescent="0.3">
      <c r="A80" s="176">
        <f t="shared" si="2"/>
        <v>1</v>
      </c>
      <c r="B80" s="526" t="s">
        <v>639</v>
      </c>
      <c r="C80" s="526" t="s">
        <v>640</v>
      </c>
      <c r="D80" s="526" t="s">
        <v>438</v>
      </c>
      <c r="E80" s="526" t="s">
        <v>439</v>
      </c>
      <c r="H80" s="530">
        <v>11328</v>
      </c>
      <c r="I80" s="525" t="s">
        <v>448</v>
      </c>
      <c r="J80" s="525" t="s">
        <v>641</v>
      </c>
      <c r="K80" s="530">
        <v>260544</v>
      </c>
      <c r="L80" s="530">
        <v>0</v>
      </c>
      <c r="M80" s="530">
        <v>43424</v>
      </c>
      <c r="N80" s="530">
        <v>217120</v>
      </c>
      <c r="O80" s="530">
        <v>0</v>
      </c>
      <c r="P80" s="530">
        <v>0</v>
      </c>
      <c r="Q80" s="530">
        <v>0</v>
      </c>
      <c r="R80" s="530">
        <v>0</v>
      </c>
      <c r="S80" s="530">
        <v>217120</v>
      </c>
      <c r="T80" s="530">
        <v>736320</v>
      </c>
      <c r="U80" s="530">
        <v>276346</v>
      </c>
      <c r="V80" s="530">
        <v>0</v>
      </c>
      <c r="W80" s="530">
        <v>-795546</v>
      </c>
    </row>
    <row r="81" spans="1:23" x14ac:dyDescent="0.3">
      <c r="A81" s="176">
        <f t="shared" si="2"/>
        <v>1</v>
      </c>
      <c r="B81" s="526" t="s">
        <v>642</v>
      </c>
      <c r="C81" s="526" t="s">
        <v>540</v>
      </c>
      <c r="D81" s="526" t="s">
        <v>438</v>
      </c>
      <c r="E81" s="526" t="s">
        <v>439</v>
      </c>
      <c r="H81" s="530">
        <v>475</v>
      </c>
      <c r="I81" s="525" t="s">
        <v>643</v>
      </c>
      <c r="J81" s="525" t="s">
        <v>644</v>
      </c>
      <c r="K81" s="530">
        <v>24054</v>
      </c>
      <c r="L81" s="530">
        <v>12865</v>
      </c>
      <c r="M81" s="530">
        <v>0</v>
      </c>
      <c r="N81" s="530">
        <v>11189</v>
      </c>
      <c r="O81" s="530">
        <v>0</v>
      </c>
      <c r="P81" s="530">
        <v>0</v>
      </c>
      <c r="Q81" s="530">
        <v>0</v>
      </c>
      <c r="R81" s="530">
        <v>546</v>
      </c>
      <c r="S81" s="530">
        <v>11735</v>
      </c>
      <c r="T81" s="530">
        <v>0</v>
      </c>
      <c r="U81" s="530">
        <v>0</v>
      </c>
      <c r="V81" s="530">
        <v>0</v>
      </c>
      <c r="W81" s="530">
        <v>11735</v>
      </c>
    </row>
    <row r="82" spans="1:23" x14ac:dyDescent="0.3">
      <c r="A82" s="176">
        <f t="shared" si="2"/>
        <v>1</v>
      </c>
      <c r="B82" s="526" t="s">
        <v>645</v>
      </c>
      <c r="C82" s="526" t="s">
        <v>451</v>
      </c>
      <c r="D82" s="526" t="s">
        <v>438</v>
      </c>
      <c r="E82" s="526" t="s">
        <v>439</v>
      </c>
      <c r="H82" s="530">
        <v>14241</v>
      </c>
      <c r="I82" s="525" t="s">
        <v>646</v>
      </c>
      <c r="J82" s="525" t="s">
        <v>647</v>
      </c>
      <c r="K82" s="530">
        <v>681373</v>
      </c>
      <c r="L82" s="530">
        <v>0</v>
      </c>
      <c r="M82" s="530">
        <v>0</v>
      </c>
      <c r="N82" s="530">
        <v>681373</v>
      </c>
      <c r="O82" s="530">
        <v>0</v>
      </c>
      <c r="P82" s="530">
        <v>0</v>
      </c>
      <c r="Q82" s="530">
        <v>0</v>
      </c>
      <c r="R82" s="530">
        <v>113488</v>
      </c>
      <c r="S82" s="530">
        <v>794861</v>
      </c>
      <c r="T82" s="530">
        <v>0</v>
      </c>
      <c r="U82" s="530">
        <v>0</v>
      </c>
      <c r="V82" s="530">
        <v>0</v>
      </c>
      <c r="W82" s="530">
        <v>794861</v>
      </c>
    </row>
    <row r="83" spans="1:23" x14ac:dyDescent="0.3">
      <c r="A83" s="176">
        <f t="shared" si="2"/>
        <v>1</v>
      </c>
      <c r="B83" s="526" t="s">
        <v>648</v>
      </c>
      <c r="C83" s="526" t="s">
        <v>536</v>
      </c>
      <c r="D83" s="526" t="s">
        <v>438</v>
      </c>
      <c r="E83" s="526" t="s">
        <v>439</v>
      </c>
      <c r="H83" s="530">
        <v>18508</v>
      </c>
      <c r="I83" s="525" t="s">
        <v>649</v>
      </c>
      <c r="J83" s="525" t="s">
        <v>650</v>
      </c>
      <c r="K83" s="530">
        <v>1335538</v>
      </c>
      <c r="L83" s="530">
        <v>0</v>
      </c>
      <c r="M83" s="530">
        <v>0</v>
      </c>
      <c r="N83" s="530">
        <v>1335538</v>
      </c>
      <c r="O83" s="530">
        <v>0</v>
      </c>
      <c r="P83" s="530">
        <v>0</v>
      </c>
      <c r="Q83" s="530">
        <v>0</v>
      </c>
      <c r="R83" s="530">
        <v>110476</v>
      </c>
      <c r="S83" s="530">
        <v>1446013</v>
      </c>
      <c r="T83" s="530">
        <v>0</v>
      </c>
      <c r="U83" s="530">
        <v>0</v>
      </c>
      <c r="V83" s="530">
        <v>0</v>
      </c>
      <c r="W83" s="530">
        <v>1446013</v>
      </c>
    </row>
    <row r="84" spans="1:23" x14ac:dyDescent="0.3">
      <c r="A84" s="176">
        <f t="shared" si="2"/>
        <v>1</v>
      </c>
      <c r="B84" s="526" t="s">
        <v>651</v>
      </c>
      <c r="C84" s="526" t="s">
        <v>652</v>
      </c>
      <c r="D84" s="526" t="s">
        <v>438</v>
      </c>
      <c r="E84" s="526" t="s">
        <v>439</v>
      </c>
      <c r="H84" s="530">
        <v>5348</v>
      </c>
      <c r="I84" s="525" t="s">
        <v>448</v>
      </c>
      <c r="J84" s="525" t="s">
        <v>653</v>
      </c>
      <c r="K84" s="530">
        <v>229964</v>
      </c>
      <c r="L84" s="530">
        <v>0</v>
      </c>
      <c r="M84" s="530">
        <v>19164</v>
      </c>
      <c r="N84" s="530">
        <v>210800</v>
      </c>
      <c r="O84" s="530">
        <v>0</v>
      </c>
      <c r="P84" s="530">
        <v>0</v>
      </c>
      <c r="Q84" s="530">
        <v>0</v>
      </c>
      <c r="R84" s="530">
        <v>0</v>
      </c>
      <c r="S84" s="530">
        <v>210800</v>
      </c>
      <c r="T84" s="530">
        <v>454580</v>
      </c>
      <c r="U84" s="530">
        <v>469600</v>
      </c>
      <c r="V84" s="530">
        <v>0</v>
      </c>
      <c r="W84" s="530">
        <v>-713380</v>
      </c>
    </row>
    <row r="85" spans="1:23" x14ac:dyDescent="0.3">
      <c r="A85" s="176">
        <f t="shared" si="2"/>
        <v>1</v>
      </c>
      <c r="B85" s="526" t="s">
        <v>654</v>
      </c>
      <c r="C85" s="526" t="s">
        <v>640</v>
      </c>
      <c r="D85" s="526" t="s">
        <v>438</v>
      </c>
      <c r="E85" s="526" t="s">
        <v>439</v>
      </c>
      <c r="H85" s="530">
        <v>44624</v>
      </c>
      <c r="I85" s="525" t="s">
        <v>655</v>
      </c>
      <c r="J85" s="525" t="s">
        <v>656</v>
      </c>
      <c r="K85" s="530">
        <v>1045497</v>
      </c>
      <c r="L85" s="530">
        <v>0</v>
      </c>
      <c r="M85" s="530">
        <v>0</v>
      </c>
      <c r="N85" s="530">
        <v>1045497</v>
      </c>
      <c r="O85" s="530">
        <v>0</v>
      </c>
      <c r="P85" s="530">
        <v>0</v>
      </c>
      <c r="Q85" s="530">
        <v>0</v>
      </c>
      <c r="R85" s="530">
        <v>355612</v>
      </c>
      <c r="S85" s="530">
        <v>1401109</v>
      </c>
      <c r="T85" s="530">
        <v>0</v>
      </c>
      <c r="U85" s="530">
        <v>0</v>
      </c>
      <c r="V85" s="530">
        <v>0</v>
      </c>
      <c r="W85" s="530">
        <v>1401109</v>
      </c>
    </row>
    <row r="86" spans="1:23" x14ac:dyDescent="0.3">
      <c r="A86" s="176">
        <f t="shared" si="2"/>
        <v>1</v>
      </c>
      <c r="B86" s="526" t="s">
        <v>654</v>
      </c>
      <c r="C86" s="526" t="s">
        <v>657</v>
      </c>
      <c r="D86" s="526" t="s">
        <v>438</v>
      </c>
      <c r="E86" s="526" t="s">
        <v>439</v>
      </c>
      <c r="H86" s="530">
        <v>44624</v>
      </c>
      <c r="I86" s="525" t="s">
        <v>655</v>
      </c>
      <c r="J86" s="525" t="s">
        <v>658</v>
      </c>
      <c r="K86" s="530">
        <v>2987135</v>
      </c>
      <c r="L86" s="530">
        <v>0</v>
      </c>
      <c r="M86" s="530">
        <v>0</v>
      </c>
      <c r="N86" s="530">
        <v>2987135</v>
      </c>
      <c r="O86" s="530">
        <v>0</v>
      </c>
      <c r="P86" s="530">
        <v>0</v>
      </c>
      <c r="Q86" s="530">
        <v>0</v>
      </c>
      <c r="R86" s="530">
        <v>266364</v>
      </c>
      <c r="S86" s="530">
        <v>3253499</v>
      </c>
      <c r="T86" s="530">
        <v>0</v>
      </c>
      <c r="U86" s="530">
        <v>0</v>
      </c>
      <c r="V86" s="530">
        <v>0</v>
      </c>
      <c r="W86" s="530">
        <v>3253499</v>
      </c>
    </row>
    <row r="87" spans="1:23" x14ac:dyDescent="0.3">
      <c r="A87" s="176">
        <f t="shared" si="2"/>
        <v>1</v>
      </c>
      <c r="B87" s="526" t="s">
        <v>654</v>
      </c>
      <c r="C87" s="526" t="s">
        <v>659</v>
      </c>
      <c r="D87" s="526" t="s">
        <v>438</v>
      </c>
      <c r="E87" s="526" t="s">
        <v>439</v>
      </c>
      <c r="H87" s="530">
        <v>44624</v>
      </c>
      <c r="I87" s="525" t="s">
        <v>655</v>
      </c>
      <c r="J87" s="525" t="s">
        <v>457</v>
      </c>
      <c r="K87" s="530">
        <v>2738207</v>
      </c>
      <c r="L87" s="530">
        <v>0</v>
      </c>
      <c r="M87" s="530">
        <v>0</v>
      </c>
      <c r="N87" s="530">
        <v>2738207</v>
      </c>
      <c r="O87" s="530">
        <v>0</v>
      </c>
      <c r="P87" s="530">
        <v>0</v>
      </c>
      <c r="Q87" s="530">
        <v>0</v>
      </c>
      <c r="R87" s="530">
        <v>0</v>
      </c>
      <c r="S87" s="530">
        <v>2738207</v>
      </c>
      <c r="T87" s="530">
        <v>0</v>
      </c>
      <c r="U87" s="530">
        <v>0</v>
      </c>
      <c r="V87" s="530">
        <v>0</v>
      </c>
      <c r="W87" s="530">
        <v>2738207</v>
      </c>
    </row>
    <row r="88" spans="1:23" x14ac:dyDescent="0.3">
      <c r="A88" s="176">
        <f t="shared" si="2"/>
        <v>1</v>
      </c>
      <c r="B88" s="526" t="s">
        <v>654</v>
      </c>
      <c r="C88" s="526" t="s">
        <v>660</v>
      </c>
      <c r="D88" s="526" t="s">
        <v>438</v>
      </c>
      <c r="E88" s="526" t="s">
        <v>439</v>
      </c>
      <c r="H88" s="530">
        <v>44624</v>
      </c>
      <c r="I88" s="525" t="s">
        <v>655</v>
      </c>
      <c r="J88" s="525" t="s">
        <v>611</v>
      </c>
      <c r="K88" s="530">
        <v>3055682</v>
      </c>
      <c r="L88" s="530">
        <v>483427</v>
      </c>
      <c r="M88" s="530">
        <v>0</v>
      </c>
      <c r="N88" s="530">
        <v>2572255</v>
      </c>
      <c r="O88" s="530">
        <v>0</v>
      </c>
      <c r="P88" s="530">
        <v>0</v>
      </c>
      <c r="Q88" s="530">
        <v>0</v>
      </c>
      <c r="R88" s="530">
        <v>0</v>
      </c>
      <c r="S88" s="530">
        <v>2572255</v>
      </c>
      <c r="T88" s="530">
        <v>0</v>
      </c>
      <c r="U88" s="530">
        <v>0</v>
      </c>
      <c r="V88" s="530">
        <v>0</v>
      </c>
      <c r="W88" s="530">
        <v>2572255</v>
      </c>
    </row>
    <row r="89" spans="1:23" x14ac:dyDescent="0.3">
      <c r="A89" s="176">
        <f t="shared" si="2"/>
        <v>1</v>
      </c>
      <c r="B89" s="526" t="s">
        <v>661</v>
      </c>
      <c r="C89" s="526" t="s">
        <v>662</v>
      </c>
      <c r="D89" s="526" t="s">
        <v>438</v>
      </c>
      <c r="E89" s="526" t="s">
        <v>439</v>
      </c>
      <c r="H89" s="530">
        <v>14193</v>
      </c>
      <c r="I89" s="525" t="s">
        <v>663</v>
      </c>
      <c r="J89" s="525" t="s">
        <v>664</v>
      </c>
      <c r="K89" s="530">
        <v>681776</v>
      </c>
      <c r="L89" s="530">
        <v>0</v>
      </c>
      <c r="M89" s="530">
        <v>0</v>
      </c>
      <c r="N89" s="530">
        <v>681776</v>
      </c>
      <c r="O89" s="530">
        <v>0</v>
      </c>
      <c r="P89" s="530">
        <v>0</v>
      </c>
      <c r="Q89" s="530">
        <v>0</v>
      </c>
      <c r="R89" s="530">
        <v>0</v>
      </c>
      <c r="S89" s="530">
        <v>681776</v>
      </c>
      <c r="T89" s="530">
        <v>0</v>
      </c>
      <c r="U89" s="530">
        <v>0</v>
      </c>
      <c r="V89" s="530">
        <v>0</v>
      </c>
      <c r="W89" s="530">
        <v>681776</v>
      </c>
    </row>
    <row r="90" spans="1:23" x14ac:dyDescent="0.3">
      <c r="A90" s="176">
        <f t="shared" si="2"/>
        <v>1</v>
      </c>
      <c r="B90" s="526" t="s">
        <v>665</v>
      </c>
      <c r="C90" s="526" t="s">
        <v>662</v>
      </c>
      <c r="D90" s="526" t="s">
        <v>438</v>
      </c>
      <c r="E90" s="526" t="s">
        <v>439</v>
      </c>
      <c r="H90" s="530">
        <v>5831</v>
      </c>
      <c r="I90" s="525" t="s">
        <v>448</v>
      </c>
      <c r="J90" s="525" t="s">
        <v>666</v>
      </c>
      <c r="K90" s="530">
        <v>262395</v>
      </c>
      <c r="L90" s="530">
        <v>0</v>
      </c>
      <c r="M90" s="530">
        <v>21866</v>
      </c>
      <c r="N90" s="530">
        <v>240529</v>
      </c>
      <c r="O90" s="530">
        <v>0</v>
      </c>
      <c r="P90" s="530">
        <v>0</v>
      </c>
      <c r="Q90" s="530">
        <v>0</v>
      </c>
      <c r="R90" s="530">
        <v>0</v>
      </c>
      <c r="S90" s="530">
        <v>240529</v>
      </c>
      <c r="T90" s="530">
        <v>495635</v>
      </c>
      <c r="U90" s="530">
        <v>172097</v>
      </c>
      <c r="V90" s="530">
        <v>0</v>
      </c>
      <c r="W90" s="530">
        <v>-427204</v>
      </c>
    </row>
    <row r="91" spans="1:23" x14ac:dyDescent="0.3">
      <c r="A91" s="176">
        <f t="shared" si="2"/>
        <v>1</v>
      </c>
      <c r="B91" s="526" t="s">
        <v>667</v>
      </c>
      <c r="C91" s="526" t="s">
        <v>477</v>
      </c>
      <c r="D91" s="526" t="s">
        <v>438</v>
      </c>
      <c r="E91" s="526" t="s">
        <v>439</v>
      </c>
      <c r="H91" s="530">
        <v>1187</v>
      </c>
      <c r="I91" s="525" t="s">
        <v>533</v>
      </c>
      <c r="J91" s="525" t="s">
        <v>568</v>
      </c>
      <c r="K91" s="530">
        <v>52231</v>
      </c>
      <c r="L91" s="530">
        <v>0</v>
      </c>
      <c r="M91" s="530">
        <v>0</v>
      </c>
      <c r="N91" s="530">
        <v>52231</v>
      </c>
      <c r="O91" s="530">
        <v>0</v>
      </c>
      <c r="P91" s="530">
        <v>0</v>
      </c>
      <c r="Q91" s="530">
        <v>0</v>
      </c>
      <c r="R91" s="530">
        <v>4711</v>
      </c>
      <c r="S91" s="530">
        <v>56942</v>
      </c>
      <c r="T91" s="530">
        <v>0</v>
      </c>
      <c r="U91" s="530">
        <v>0</v>
      </c>
      <c r="V91" s="530">
        <v>0</v>
      </c>
      <c r="W91" s="530">
        <v>56942</v>
      </c>
    </row>
    <row r="92" spans="1:23" x14ac:dyDescent="0.3">
      <c r="A92" s="176">
        <f t="shared" si="2"/>
        <v>1</v>
      </c>
      <c r="B92" s="526" t="s">
        <v>668</v>
      </c>
      <c r="C92" s="526" t="s">
        <v>495</v>
      </c>
      <c r="D92" s="526" t="s">
        <v>438</v>
      </c>
      <c r="E92" s="526" t="s">
        <v>439</v>
      </c>
      <c r="H92" s="530">
        <v>2886</v>
      </c>
      <c r="I92" s="525" t="s">
        <v>669</v>
      </c>
      <c r="J92" s="525" t="s">
        <v>587</v>
      </c>
      <c r="K92" s="530">
        <v>118394</v>
      </c>
      <c r="L92" s="530">
        <v>0</v>
      </c>
      <c r="M92" s="530">
        <v>0</v>
      </c>
      <c r="N92" s="530">
        <v>118394</v>
      </c>
      <c r="O92" s="530">
        <v>0</v>
      </c>
      <c r="P92" s="530">
        <v>0</v>
      </c>
      <c r="Q92" s="530">
        <v>0</v>
      </c>
      <c r="R92" s="530">
        <v>25885</v>
      </c>
      <c r="S92" s="530">
        <v>144279</v>
      </c>
      <c r="T92" s="530">
        <v>0</v>
      </c>
      <c r="U92" s="530">
        <v>0</v>
      </c>
      <c r="V92" s="530">
        <v>0</v>
      </c>
      <c r="W92" s="530">
        <v>144279</v>
      </c>
    </row>
    <row r="93" spans="1:23" x14ac:dyDescent="0.3">
      <c r="A93" s="176">
        <f t="shared" si="2"/>
        <v>1</v>
      </c>
      <c r="B93" s="526" t="s">
        <v>670</v>
      </c>
      <c r="C93" s="526" t="s">
        <v>671</v>
      </c>
      <c r="D93" s="526" t="s">
        <v>438</v>
      </c>
      <c r="E93" s="526" t="s">
        <v>439</v>
      </c>
      <c r="H93" s="530">
        <v>105143</v>
      </c>
      <c r="I93" s="525" t="s">
        <v>672</v>
      </c>
      <c r="J93" s="525" t="s">
        <v>673</v>
      </c>
      <c r="K93" s="530">
        <v>8130658</v>
      </c>
      <c r="L93" s="530">
        <v>0</v>
      </c>
      <c r="M93" s="530">
        <v>0</v>
      </c>
      <c r="N93" s="530">
        <v>8130658</v>
      </c>
      <c r="O93" s="530">
        <v>0</v>
      </c>
      <c r="P93" s="530">
        <v>0</v>
      </c>
      <c r="Q93" s="530">
        <v>0</v>
      </c>
      <c r="R93" s="530">
        <v>943035</v>
      </c>
      <c r="S93" s="530">
        <v>9073693</v>
      </c>
      <c r="T93" s="530">
        <v>0</v>
      </c>
      <c r="U93" s="530">
        <v>0</v>
      </c>
      <c r="V93" s="530">
        <v>0</v>
      </c>
      <c r="W93" s="530">
        <v>9073693</v>
      </c>
    </row>
    <row r="94" spans="1:23" x14ac:dyDescent="0.3">
      <c r="A94" s="176">
        <f t="shared" si="2"/>
        <v>1</v>
      </c>
      <c r="B94" s="526" t="s">
        <v>674</v>
      </c>
      <c r="C94" s="526" t="s">
        <v>603</v>
      </c>
      <c r="D94" s="526" t="s">
        <v>438</v>
      </c>
      <c r="E94" s="526" t="s">
        <v>439</v>
      </c>
      <c r="H94" s="530">
        <v>1044</v>
      </c>
      <c r="I94" s="525" t="s">
        <v>675</v>
      </c>
      <c r="J94" s="525" t="s">
        <v>676</v>
      </c>
      <c r="K94" s="530">
        <v>47174</v>
      </c>
      <c r="L94" s="530">
        <v>0</v>
      </c>
      <c r="M94" s="530">
        <v>0</v>
      </c>
      <c r="N94" s="530">
        <v>47174</v>
      </c>
      <c r="O94" s="530">
        <v>0</v>
      </c>
      <c r="P94" s="530">
        <v>0</v>
      </c>
      <c r="Q94" s="530">
        <v>0</v>
      </c>
      <c r="R94" s="530">
        <v>0</v>
      </c>
      <c r="S94" s="530">
        <v>47174</v>
      </c>
      <c r="T94" s="530">
        <v>0</v>
      </c>
      <c r="U94" s="530">
        <v>0</v>
      </c>
      <c r="V94" s="530">
        <v>0</v>
      </c>
      <c r="W94" s="530">
        <v>47174</v>
      </c>
    </row>
    <row r="95" spans="1:23" x14ac:dyDescent="0.3">
      <c r="A95" s="176">
        <f t="shared" si="2"/>
        <v>1</v>
      </c>
      <c r="B95" s="526" t="s">
        <v>677</v>
      </c>
      <c r="C95" s="526" t="s">
        <v>678</v>
      </c>
      <c r="D95" s="526" t="s">
        <v>438</v>
      </c>
      <c r="E95" s="526" t="s">
        <v>439</v>
      </c>
      <c r="H95" s="530">
        <v>63835</v>
      </c>
      <c r="I95" s="525" t="s">
        <v>679</v>
      </c>
      <c r="J95" s="525" t="s">
        <v>680</v>
      </c>
      <c r="K95" s="530">
        <v>5126327</v>
      </c>
      <c r="L95" s="530">
        <v>0</v>
      </c>
      <c r="M95" s="530">
        <v>0</v>
      </c>
      <c r="N95" s="530">
        <v>5126327</v>
      </c>
      <c r="O95" s="530">
        <v>0</v>
      </c>
      <c r="P95" s="530">
        <v>0</v>
      </c>
      <c r="Q95" s="530">
        <v>0</v>
      </c>
      <c r="R95" s="530">
        <v>444871</v>
      </c>
      <c r="S95" s="530">
        <v>5571197</v>
      </c>
      <c r="T95" s="530">
        <v>0</v>
      </c>
      <c r="U95" s="530">
        <v>0</v>
      </c>
      <c r="V95" s="530">
        <v>0</v>
      </c>
      <c r="W95" s="530">
        <v>5571197</v>
      </c>
    </row>
    <row r="96" spans="1:23" x14ac:dyDescent="0.3">
      <c r="A96" s="176">
        <f t="shared" si="2"/>
        <v>1</v>
      </c>
      <c r="B96" s="526" t="s">
        <v>681</v>
      </c>
      <c r="C96" s="526" t="s">
        <v>682</v>
      </c>
      <c r="D96" s="526" t="s">
        <v>438</v>
      </c>
      <c r="E96" s="526" t="s">
        <v>439</v>
      </c>
      <c r="H96" s="530">
        <v>25289</v>
      </c>
      <c r="I96" s="525" t="s">
        <v>683</v>
      </c>
      <c r="J96" s="525" t="s">
        <v>549</v>
      </c>
      <c r="K96" s="530">
        <v>1664805</v>
      </c>
      <c r="L96" s="530">
        <v>0</v>
      </c>
      <c r="M96" s="530">
        <v>0</v>
      </c>
      <c r="N96" s="530">
        <v>1664805</v>
      </c>
      <c r="O96" s="530">
        <v>0</v>
      </c>
      <c r="P96" s="530">
        <v>0</v>
      </c>
      <c r="Q96" s="530">
        <v>0</v>
      </c>
      <c r="R96" s="530">
        <v>0</v>
      </c>
      <c r="S96" s="530">
        <v>1664805</v>
      </c>
      <c r="T96" s="530">
        <v>0</v>
      </c>
      <c r="U96" s="530">
        <v>0</v>
      </c>
      <c r="V96" s="530">
        <v>0</v>
      </c>
      <c r="W96" s="530">
        <v>1664805</v>
      </c>
    </row>
    <row r="97" spans="1:23" x14ac:dyDescent="0.3">
      <c r="A97" s="176">
        <f t="shared" si="2"/>
        <v>1</v>
      </c>
      <c r="B97" s="526" t="s">
        <v>684</v>
      </c>
      <c r="C97" s="526" t="s">
        <v>466</v>
      </c>
      <c r="D97" s="526" t="s">
        <v>438</v>
      </c>
      <c r="E97" s="526" t="s">
        <v>439</v>
      </c>
      <c r="H97" s="530">
        <v>3979</v>
      </c>
      <c r="I97" s="525" t="s">
        <v>637</v>
      </c>
      <c r="J97" s="525" t="s">
        <v>497</v>
      </c>
      <c r="K97" s="530">
        <v>176365</v>
      </c>
      <c r="L97" s="530">
        <v>0</v>
      </c>
      <c r="M97" s="530">
        <v>0</v>
      </c>
      <c r="N97" s="530">
        <v>176365</v>
      </c>
      <c r="O97" s="530">
        <v>0</v>
      </c>
      <c r="P97" s="530">
        <v>0</v>
      </c>
      <c r="Q97" s="530">
        <v>0</v>
      </c>
      <c r="R97" s="530">
        <v>27730</v>
      </c>
      <c r="S97" s="530">
        <v>204095</v>
      </c>
      <c r="T97" s="530">
        <v>0</v>
      </c>
      <c r="U97" s="530">
        <v>0</v>
      </c>
      <c r="V97" s="530">
        <v>0</v>
      </c>
      <c r="W97" s="530">
        <v>204095</v>
      </c>
    </row>
    <row r="98" spans="1:23" x14ac:dyDescent="0.3">
      <c r="A98" s="176">
        <f t="shared" si="2"/>
        <v>1</v>
      </c>
      <c r="B98" s="526" t="s">
        <v>685</v>
      </c>
      <c r="C98" s="526" t="s">
        <v>686</v>
      </c>
      <c r="D98" s="526" t="s">
        <v>438</v>
      </c>
      <c r="E98" s="526" t="s">
        <v>439</v>
      </c>
      <c r="H98" s="530">
        <v>475</v>
      </c>
      <c r="I98" s="525" t="s">
        <v>687</v>
      </c>
      <c r="J98" s="525" t="s">
        <v>688</v>
      </c>
      <c r="K98" s="530">
        <v>14561</v>
      </c>
      <c r="L98" s="530">
        <v>0</v>
      </c>
      <c r="M98" s="530">
        <v>0</v>
      </c>
      <c r="N98" s="530">
        <v>14561</v>
      </c>
      <c r="O98" s="530">
        <v>0</v>
      </c>
      <c r="P98" s="530">
        <v>0</v>
      </c>
      <c r="Q98" s="530">
        <v>0</v>
      </c>
      <c r="R98" s="530">
        <v>0</v>
      </c>
      <c r="S98" s="530">
        <v>14561</v>
      </c>
      <c r="T98" s="530">
        <v>0</v>
      </c>
      <c r="U98" s="530">
        <v>0</v>
      </c>
      <c r="V98" s="530">
        <v>0</v>
      </c>
      <c r="W98" s="530">
        <v>14561</v>
      </c>
    </row>
    <row r="99" spans="1:23" x14ac:dyDescent="0.3">
      <c r="A99" s="176">
        <f t="shared" si="2"/>
        <v>1</v>
      </c>
      <c r="B99" s="526" t="s">
        <v>689</v>
      </c>
      <c r="C99" s="526" t="s">
        <v>437</v>
      </c>
      <c r="D99" s="526" t="s">
        <v>438</v>
      </c>
      <c r="E99" s="526" t="s">
        <v>439</v>
      </c>
      <c r="H99" s="530">
        <v>500</v>
      </c>
      <c r="I99" s="525" t="s">
        <v>567</v>
      </c>
      <c r="J99" s="525" t="s">
        <v>690</v>
      </c>
      <c r="K99" s="530">
        <v>31113</v>
      </c>
      <c r="L99" s="530">
        <v>0</v>
      </c>
      <c r="M99" s="530">
        <v>0</v>
      </c>
      <c r="N99" s="530">
        <v>31113</v>
      </c>
      <c r="O99" s="530">
        <v>0</v>
      </c>
      <c r="P99" s="530">
        <v>0</v>
      </c>
      <c r="Q99" s="530">
        <v>0</v>
      </c>
      <c r="R99" s="530">
        <v>0</v>
      </c>
      <c r="S99" s="530">
        <v>31113</v>
      </c>
      <c r="T99" s="530">
        <v>0</v>
      </c>
      <c r="U99" s="530">
        <v>0</v>
      </c>
      <c r="V99" s="530">
        <v>0</v>
      </c>
      <c r="W99" s="530">
        <v>31113</v>
      </c>
    </row>
    <row r="100" spans="1:23" x14ac:dyDescent="0.3">
      <c r="A100" s="176">
        <f t="shared" si="2"/>
        <v>1</v>
      </c>
      <c r="B100" s="526" t="s">
        <v>691</v>
      </c>
      <c r="C100" s="526" t="s">
        <v>692</v>
      </c>
      <c r="D100" s="526" t="s">
        <v>438</v>
      </c>
      <c r="E100" s="526" t="s">
        <v>439</v>
      </c>
      <c r="H100" s="530">
        <v>39530</v>
      </c>
      <c r="I100" s="525" t="s">
        <v>693</v>
      </c>
      <c r="J100" s="525" t="s">
        <v>523</v>
      </c>
      <c r="K100" s="530">
        <v>2634223</v>
      </c>
      <c r="L100" s="530">
        <v>0</v>
      </c>
      <c r="M100" s="530">
        <v>0</v>
      </c>
      <c r="N100" s="530">
        <v>2634223</v>
      </c>
      <c r="O100" s="530">
        <v>0</v>
      </c>
      <c r="P100" s="530">
        <v>0</v>
      </c>
      <c r="Q100" s="530">
        <v>0</v>
      </c>
      <c r="R100" s="530">
        <v>0</v>
      </c>
      <c r="S100" s="530">
        <v>2634223</v>
      </c>
      <c r="T100" s="530">
        <v>0</v>
      </c>
      <c r="U100" s="530">
        <v>0</v>
      </c>
      <c r="V100" s="530">
        <v>0</v>
      </c>
      <c r="W100" s="530">
        <v>2634223</v>
      </c>
    </row>
    <row r="101" spans="1:23" x14ac:dyDescent="0.3">
      <c r="A101" s="176">
        <f t="shared" si="2"/>
        <v>1</v>
      </c>
      <c r="B101" s="526" t="s">
        <v>694</v>
      </c>
      <c r="C101" s="526" t="s">
        <v>474</v>
      </c>
      <c r="D101" s="526" t="s">
        <v>438</v>
      </c>
      <c r="E101" s="526" t="s">
        <v>439</v>
      </c>
      <c r="H101" s="530">
        <v>4747</v>
      </c>
      <c r="I101" s="525" t="s">
        <v>695</v>
      </c>
      <c r="J101" s="525" t="s">
        <v>628</v>
      </c>
      <c r="K101" s="530">
        <v>220455</v>
      </c>
      <c r="L101" s="530">
        <v>0</v>
      </c>
      <c r="M101" s="530">
        <v>0</v>
      </c>
      <c r="N101" s="530">
        <v>220455</v>
      </c>
      <c r="O101" s="530">
        <v>0</v>
      </c>
      <c r="P101" s="530">
        <v>0</v>
      </c>
      <c r="Q101" s="530">
        <v>0</v>
      </c>
      <c r="R101" s="530">
        <v>0</v>
      </c>
      <c r="S101" s="530">
        <v>220455</v>
      </c>
      <c r="T101" s="530">
        <v>0</v>
      </c>
      <c r="U101" s="530">
        <v>0</v>
      </c>
      <c r="V101" s="530">
        <v>0</v>
      </c>
      <c r="W101" s="530">
        <v>220455</v>
      </c>
    </row>
    <row r="102" spans="1:23" x14ac:dyDescent="0.3">
      <c r="A102" s="176">
        <f t="shared" si="2"/>
        <v>1</v>
      </c>
      <c r="B102" s="526" t="s">
        <v>696</v>
      </c>
      <c r="C102" s="526" t="s">
        <v>495</v>
      </c>
      <c r="D102" s="526" t="s">
        <v>438</v>
      </c>
      <c r="E102" s="526" t="s">
        <v>439</v>
      </c>
      <c r="H102" s="530">
        <v>1424</v>
      </c>
      <c r="I102" s="525" t="s">
        <v>627</v>
      </c>
      <c r="J102" s="525" t="s">
        <v>588</v>
      </c>
      <c r="K102" s="530">
        <v>79180</v>
      </c>
      <c r="L102" s="530">
        <v>0</v>
      </c>
      <c r="M102" s="530">
        <v>0</v>
      </c>
      <c r="N102" s="530">
        <v>79180</v>
      </c>
      <c r="O102" s="530">
        <v>0</v>
      </c>
      <c r="P102" s="530">
        <v>0</v>
      </c>
      <c r="Q102" s="530">
        <v>0</v>
      </c>
      <c r="R102" s="530">
        <v>0</v>
      </c>
      <c r="S102" s="530">
        <v>79180</v>
      </c>
      <c r="T102" s="530">
        <v>0</v>
      </c>
      <c r="U102" s="530">
        <v>0</v>
      </c>
      <c r="V102" s="530">
        <v>0</v>
      </c>
      <c r="W102" s="530">
        <v>79180</v>
      </c>
    </row>
    <row r="103" spans="1:23" x14ac:dyDescent="0.3">
      <c r="A103" s="176">
        <f t="shared" si="2"/>
        <v>1</v>
      </c>
      <c r="B103" s="526" t="s">
        <v>697</v>
      </c>
      <c r="C103" s="526" t="s">
        <v>437</v>
      </c>
      <c r="D103" s="526" t="s">
        <v>438</v>
      </c>
      <c r="E103" s="526" t="s">
        <v>439</v>
      </c>
      <c r="H103" s="530">
        <v>176</v>
      </c>
      <c r="I103" s="525" t="s">
        <v>698</v>
      </c>
      <c r="J103" s="525" t="s">
        <v>699</v>
      </c>
      <c r="K103" s="530">
        <v>9303</v>
      </c>
      <c r="L103" s="530">
        <v>0</v>
      </c>
      <c r="M103" s="530">
        <v>0</v>
      </c>
      <c r="N103" s="530">
        <v>9303</v>
      </c>
      <c r="O103" s="530">
        <v>0</v>
      </c>
      <c r="P103" s="530">
        <v>0</v>
      </c>
      <c r="Q103" s="530">
        <v>0</v>
      </c>
      <c r="R103" s="530">
        <v>1579</v>
      </c>
      <c r="S103" s="530">
        <v>10881</v>
      </c>
      <c r="T103" s="530">
        <v>0</v>
      </c>
      <c r="U103" s="530">
        <v>0</v>
      </c>
      <c r="V103" s="530">
        <v>0</v>
      </c>
      <c r="W103" s="530">
        <v>10881</v>
      </c>
    </row>
    <row r="104" spans="1:23" x14ac:dyDescent="0.3">
      <c r="A104" s="176">
        <f t="shared" si="2"/>
        <v>1</v>
      </c>
      <c r="B104" s="526" t="s">
        <v>700</v>
      </c>
      <c r="C104" s="526" t="s">
        <v>701</v>
      </c>
      <c r="D104" s="526" t="s">
        <v>438</v>
      </c>
      <c r="E104" s="526" t="s">
        <v>439</v>
      </c>
      <c r="H104" s="530">
        <v>32749</v>
      </c>
      <c r="I104" s="525" t="s">
        <v>702</v>
      </c>
      <c r="J104" s="525" t="s">
        <v>703</v>
      </c>
      <c r="K104" s="530">
        <v>2070536</v>
      </c>
      <c r="L104" s="530">
        <v>0</v>
      </c>
      <c r="M104" s="530">
        <v>0</v>
      </c>
      <c r="N104" s="530">
        <v>2070536</v>
      </c>
      <c r="O104" s="530">
        <v>0</v>
      </c>
      <c r="P104" s="530">
        <v>0</v>
      </c>
      <c r="Q104" s="530">
        <v>0</v>
      </c>
      <c r="R104" s="530">
        <v>0</v>
      </c>
      <c r="S104" s="530">
        <v>2070536</v>
      </c>
      <c r="T104" s="530">
        <v>0</v>
      </c>
      <c r="U104" s="530">
        <v>0</v>
      </c>
      <c r="V104" s="530">
        <v>0</v>
      </c>
      <c r="W104" s="530">
        <v>2070536</v>
      </c>
    </row>
    <row r="105" spans="1:23" x14ac:dyDescent="0.3">
      <c r="A105" s="176">
        <f t="shared" si="2"/>
        <v>1</v>
      </c>
      <c r="B105" s="526" t="s">
        <v>704</v>
      </c>
      <c r="C105" s="526" t="s">
        <v>705</v>
      </c>
      <c r="D105" s="526" t="s">
        <v>438</v>
      </c>
      <c r="E105" s="526" t="s">
        <v>439</v>
      </c>
      <c r="H105" s="530">
        <v>5791</v>
      </c>
      <c r="I105" s="525" t="s">
        <v>706</v>
      </c>
      <c r="J105" s="525" t="s">
        <v>707</v>
      </c>
      <c r="K105" s="530">
        <v>278932</v>
      </c>
      <c r="L105" s="530">
        <v>0</v>
      </c>
      <c r="M105" s="530">
        <v>0</v>
      </c>
      <c r="N105" s="530">
        <v>278932</v>
      </c>
      <c r="O105" s="530">
        <v>0</v>
      </c>
      <c r="P105" s="530">
        <v>0</v>
      </c>
      <c r="Q105" s="530">
        <v>0</v>
      </c>
      <c r="R105" s="530">
        <v>0</v>
      </c>
      <c r="S105" s="530">
        <v>278932</v>
      </c>
      <c r="T105" s="530">
        <v>0</v>
      </c>
      <c r="U105" s="530">
        <v>0</v>
      </c>
      <c r="V105" s="530">
        <v>0</v>
      </c>
      <c r="W105" s="530">
        <v>278932</v>
      </c>
    </row>
    <row r="106" spans="1:23" x14ac:dyDescent="0.3">
      <c r="A106" s="176">
        <f t="shared" si="2"/>
        <v>1</v>
      </c>
      <c r="B106" s="526" t="s">
        <v>708</v>
      </c>
      <c r="C106" s="526" t="s">
        <v>470</v>
      </c>
      <c r="D106" s="526" t="s">
        <v>438</v>
      </c>
      <c r="E106" s="526" t="s">
        <v>439</v>
      </c>
      <c r="H106" s="530">
        <v>2141</v>
      </c>
      <c r="I106" s="525" t="s">
        <v>471</v>
      </c>
      <c r="J106" s="525" t="s">
        <v>709</v>
      </c>
      <c r="K106" s="530">
        <v>102649</v>
      </c>
      <c r="L106" s="530">
        <v>0</v>
      </c>
      <c r="M106" s="530">
        <v>0</v>
      </c>
      <c r="N106" s="530">
        <v>102649</v>
      </c>
      <c r="O106" s="530">
        <v>0</v>
      </c>
      <c r="P106" s="530">
        <v>0</v>
      </c>
      <c r="Q106" s="530">
        <v>0</v>
      </c>
      <c r="R106" s="530">
        <v>4216</v>
      </c>
      <c r="S106" s="530">
        <v>106865</v>
      </c>
      <c r="T106" s="530">
        <v>0</v>
      </c>
      <c r="U106" s="530">
        <v>0</v>
      </c>
      <c r="V106" s="530">
        <v>0</v>
      </c>
      <c r="W106" s="530">
        <v>106865</v>
      </c>
    </row>
    <row r="107" spans="1:23" x14ac:dyDescent="0.3">
      <c r="A107" s="176">
        <f t="shared" si="2"/>
        <v>1</v>
      </c>
      <c r="B107" s="526" t="s">
        <v>710</v>
      </c>
      <c r="C107" s="526" t="s">
        <v>590</v>
      </c>
      <c r="D107" s="526" t="s">
        <v>438</v>
      </c>
      <c r="E107" s="526" t="s">
        <v>439</v>
      </c>
      <c r="H107" s="530">
        <v>4485</v>
      </c>
      <c r="I107" s="525" t="s">
        <v>504</v>
      </c>
      <c r="J107" s="525" t="s">
        <v>711</v>
      </c>
      <c r="K107" s="530">
        <v>196345</v>
      </c>
      <c r="L107" s="530">
        <v>0</v>
      </c>
      <c r="M107" s="530">
        <v>0</v>
      </c>
      <c r="N107" s="530">
        <v>196345</v>
      </c>
      <c r="O107" s="530">
        <v>0</v>
      </c>
      <c r="P107" s="530">
        <v>0</v>
      </c>
      <c r="Q107" s="530">
        <v>0</v>
      </c>
      <c r="R107" s="530">
        <v>0</v>
      </c>
      <c r="S107" s="530">
        <v>196345</v>
      </c>
      <c r="T107" s="530">
        <v>0</v>
      </c>
      <c r="U107" s="530">
        <v>0</v>
      </c>
      <c r="V107" s="530">
        <v>0</v>
      </c>
      <c r="W107" s="530">
        <v>196345</v>
      </c>
    </row>
    <row r="108" spans="1:23" x14ac:dyDescent="0.3">
      <c r="A108" s="176">
        <f t="shared" si="2"/>
        <v>1</v>
      </c>
      <c r="B108" s="526" t="s">
        <v>712</v>
      </c>
      <c r="C108" s="526" t="s">
        <v>713</v>
      </c>
      <c r="D108" s="526" t="s">
        <v>438</v>
      </c>
      <c r="E108" s="526" t="s">
        <v>439</v>
      </c>
      <c r="H108" s="530">
        <v>8397</v>
      </c>
      <c r="I108" s="525" t="s">
        <v>448</v>
      </c>
      <c r="J108" s="525" t="s">
        <v>714</v>
      </c>
      <c r="K108" s="530">
        <v>243513</v>
      </c>
      <c r="L108" s="530">
        <v>0</v>
      </c>
      <c r="M108" s="530">
        <v>20293</v>
      </c>
      <c r="N108" s="530">
        <v>223220</v>
      </c>
      <c r="O108" s="530">
        <v>0</v>
      </c>
      <c r="P108" s="530">
        <v>0</v>
      </c>
      <c r="Q108" s="530">
        <v>0</v>
      </c>
      <c r="R108" s="530">
        <v>0</v>
      </c>
      <c r="S108" s="530">
        <v>223220</v>
      </c>
      <c r="T108" s="530">
        <v>503820</v>
      </c>
      <c r="U108" s="530">
        <v>420806</v>
      </c>
      <c r="V108" s="530">
        <v>0</v>
      </c>
      <c r="W108" s="530">
        <v>-701406</v>
      </c>
    </row>
    <row r="109" spans="1:23" x14ac:dyDescent="0.3">
      <c r="A109" s="176">
        <f t="shared" si="2"/>
        <v>1</v>
      </c>
      <c r="B109" s="526" t="s">
        <v>715</v>
      </c>
      <c r="C109" s="526" t="s">
        <v>557</v>
      </c>
      <c r="D109" s="526" t="s">
        <v>438</v>
      </c>
      <c r="E109" s="526" t="s">
        <v>439</v>
      </c>
      <c r="H109" s="530">
        <v>4272</v>
      </c>
      <c r="I109" s="525" t="s">
        <v>511</v>
      </c>
      <c r="J109" s="525" t="s">
        <v>497</v>
      </c>
      <c r="K109" s="530">
        <v>207138</v>
      </c>
      <c r="L109" s="530">
        <v>0</v>
      </c>
      <c r="M109" s="530">
        <v>0</v>
      </c>
      <c r="N109" s="530">
        <v>207138</v>
      </c>
      <c r="O109" s="530">
        <v>0</v>
      </c>
      <c r="P109" s="530">
        <v>0</v>
      </c>
      <c r="Q109" s="530">
        <v>0</v>
      </c>
      <c r="R109" s="530">
        <v>0</v>
      </c>
      <c r="S109" s="530">
        <v>207138</v>
      </c>
      <c r="T109" s="530">
        <v>0</v>
      </c>
      <c r="U109" s="530">
        <v>0</v>
      </c>
      <c r="V109" s="530">
        <v>0</v>
      </c>
      <c r="W109" s="530">
        <v>207138</v>
      </c>
    </row>
    <row r="110" spans="1:23" x14ac:dyDescent="0.3">
      <c r="A110" s="176">
        <f t="shared" si="2"/>
        <v>1</v>
      </c>
      <c r="B110" s="526" t="s">
        <v>716</v>
      </c>
      <c r="C110" s="526" t="s">
        <v>540</v>
      </c>
      <c r="D110" s="526" t="s">
        <v>438</v>
      </c>
      <c r="E110" s="526" t="s">
        <v>439</v>
      </c>
      <c r="H110" s="530">
        <v>4922</v>
      </c>
      <c r="I110" s="525" t="s">
        <v>669</v>
      </c>
      <c r="J110" s="525" t="s">
        <v>571</v>
      </c>
      <c r="K110" s="530">
        <v>217450</v>
      </c>
      <c r="L110" s="530">
        <v>0</v>
      </c>
      <c r="M110" s="530">
        <v>0</v>
      </c>
      <c r="N110" s="530">
        <v>217450</v>
      </c>
      <c r="O110" s="530">
        <v>0</v>
      </c>
      <c r="P110" s="530">
        <v>0</v>
      </c>
      <c r="Q110" s="530">
        <v>0</v>
      </c>
      <c r="R110" s="530">
        <v>9692</v>
      </c>
      <c r="S110" s="530">
        <v>227142</v>
      </c>
      <c r="T110" s="530">
        <v>0</v>
      </c>
      <c r="U110" s="530">
        <v>0</v>
      </c>
      <c r="V110" s="530">
        <v>0</v>
      </c>
      <c r="W110" s="530">
        <v>227142</v>
      </c>
    </row>
    <row r="111" spans="1:23" x14ac:dyDescent="0.3">
      <c r="A111" s="176">
        <f t="shared" si="2"/>
        <v>1</v>
      </c>
      <c r="B111" s="526" t="s">
        <v>717</v>
      </c>
      <c r="C111" s="526" t="s">
        <v>540</v>
      </c>
      <c r="D111" s="526" t="s">
        <v>438</v>
      </c>
      <c r="E111" s="526" t="s">
        <v>439</v>
      </c>
      <c r="H111" s="530">
        <v>3265</v>
      </c>
      <c r="I111" s="525" t="s">
        <v>452</v>
      </c>
      <c r="J111" s="525" t="s">
        <v>518</v>
      </c>
      <c r="K111" s="530">
        <v>149653</v>
      </c>
      <c r="L111" s="530">
        <v>0</v>
      </c>
      <c r="M111" s="530">
        <v>0</v>
      </c>
      <c r="N111" s="530">
        <v>149653</v>
      </c>
      <c r="O111" s="530">
        <v>0</v>
      </c>
      <c r="P111" s="530">
        <v>0</v>
      </c>
      <c r="Q111" s="530">
        <v>0</v>
      </c>
      <c r="R111" s="530">
        <v>29284</v>
      </c>
      <c r="S111" s="530">
        <v>178937</v>
      </c>
      <c r="T111" s="530">
        <v>0</v>
      </c>
      <c r="U111" s="530">
        <v>0</v>
      </c>
      <c r="V111" s="530">
        <v>0</v>
      </c>
      <c r="W111" s="530">
        <v>178937</v>
      </c>
    </row>
    <row r="112" spans="1:23" x14ac:dyDescent="0.3">
      <c r="A112" s="176">
        <f t="shared" si="2"/>
        <v>1</v>
      </c>
      <c r="B112" s="526" t="s">
        <v>718</v>
      </c>
      <c r="C112" s="526" t="s">
        <v>719</v>
      </c>
      <c r="D112" s="526" t="s">
        <v>438</v>
      </c>
      <c r="E112" s="526" t="s">
        <v>439</v>
      </c>
      <c r="H112" s="530">
        <v>5132</v>
      </c>
      <c r="I112" s="525" t="s">
        <v>448</v>
      </c>
      <c r="J112" s="525" t="s">
        <v>497</v>
      </c>
      <c r="K112" s="530">
        <v>256600</v>
      </c>
      <c r="L112" s="530">
        <v>0</v>
      </c>
      <c r="M112" s="530">
        <v>21383</v>
      </c>
      <c r="N112" s="530">
        <v>235217</v>
      </c>
      <c r="O112" s="530">
        <v>0</v>
      </c>
      <c r="P112" s="530">
        <v>0</v>
      </c>
      <c r="Q112" s="530">
        <v>0</v>
      </c>
      <c r="R112" s="530">
        <v>0</v>
      </c>
      <c r="S112" s="530">
        <v>235217</v>
      </c>
      <c r="T112" s="530">
        <v>384900</v>
      </c>
      <c r="U112" s="530">
        <v>37516</v>
      </c>
      <c r="V112" s="530">
        <v>0</v>
      </c>
      <c r="W112" s="530">
        <v>-187199</v>
      </c>
    </row>
    <row r="113" spans="1:23" x14ac:dyDescent="0.3">
      <c r="A113" s="176">
        <f t="shared" si="2"/>
        <v>1</v>
      </c>
      <c r="B113" s="526" t="s">
        <v>720</v>
      </c>
      <c r="C113" s="526" t="s">
        <v>719</v>
      </c>
      <c r="D113" s="526" t="s">
        <v>438</v>
      </c>
      <c r="E113" s="526" t="s">
        <v>439</v>
      </c>
      <c r="H113" s="530">
        <v>5176</v>
      </c>
      <c r="I113" s="525" t="s">
        <v>448</v>
      </c>
      <c r="J113" s="525" t="s">
        <v>721</v>
      </c>
      <c r="K113" s="530">
        <v>243272</v>
      </c>
      <c r="L113" s="530">
        <v>0</v>
      </c>
      <c r="M113" s="530">
        <v>20273</v>
      </c>
      <c r="N113" s="530">
        <v>222999</v>
      </c>
      <c r="O113" s="530">
        <v>0</v>
      </c>
      <c r="P113" s="530">
        <v>0</v>
      </c>
      <c r="Q113" s="530">
        <v>0</v>
      </c>
      <c r="R113" s="530">
        <v>0</v>
      </c>
      <c r="S113" s="530">
        <v>222999</v>
      </c>
      <c r="T113" s="530">
        <v>388200</v>
      </c>
      <c r="U113" s="530">
        <v>143512</v>
      </c>
      <c r="V113" s="530">
        <v>0</v>
      </c>
      <c r="W113" s="530">
        <v>-308712</v>
      </c>
    </row>
    <row r="114" spans="1:23" x14ac:dyDescent="0.3">
      <c r="A114" s="176">
        <f t="shared" si="2"/>
        <v>1</v>
      </c>
      <c r="B114" s="526" t="s">
        <v>722</v>
      </c>
      <c r="C114" s="526" t="s">
        <v>723</v>
      </c>
      <c r="D114" s="526" t="s">
        <v>438</v>
      </c>
      <c r="E114" s="526" t="s">
        <v>439</v>
      </c>
      <c r="H114" s="530">
        <v>2886</v>
      </c>
      <c r="I114" s="525" t="s">
        <v>724</v>
      </c>
      <c r="J114" s="525" t="s">
        <v>490</v>
      </c>
      <c r="K114" s="530">
        <v>143339</v>
      </c>
      <c r="L114" s="530">
        <v>0</v>
      </c>
      <c r="M114" s="530">
        <v>0</v>
      </c>
      <c r="N114" s="530">
        <v>143339</v>
      </c>
      <c r="O114" s="530">
        <v>0</v>
      </c>
      <c r="P114" s="530">
        <v>0</v>
      </c>
      <c r="Q114" s="530">
        <v>0</v>
      </c>
      <c r="R114" s="530">
        <v>22999</v>
      </c>
      <c r="S114" s="530">
        <v>166338</v>
      </c>
      <c r="T114" s="530">
        <v>0</v>
      </c>
      <c r="U114" s="530">
        <v>0</v>
      </c>
      <c r="V114" s="530">
        <v>0</v>
      </c>
      <c r="W114" s="530">
        <v>166338</v>
      </c>
    </row>
    <row r="115" spans="1:23" x14ac:dyDescent="0.3">
      <c r="A115" s="176">
        <f t="shared" si="2"/>
        <v>1</v>
      </c>
      <c r="B115" s="526" t="s">
        <v>725</v>
      </c>
      <c r="C115" s="526" t="s">
        <v>726</v>
      </c>
      <c r="D115" s="526" t="s">
        <v>438</v>
      </c>
      <c r="E115" s="526" t="s">
        <v>439</v>
      </c>
      <c r="H115" s="530">
        <v>5235</v>
      </c>
      <c r="I115" s="525" t="s">
        <v>727</v>
      </c>
      <c r="J115" s="525" t="s">
        <v>728</v>
      </c>
      <c r="K115" s="530">
        <v>217267</v>
      </c>
      <c r="L115" s="530">
        <v>0</v>
      </c>
      <c r="M115" s="530">
        <v>0</v>
      </c>
      <c r="N115" s="530">
        <v>217267</v>
      </c>
      <c r="O115" s="530">
        <v>0</v>
      </c>
      <c r="P115" s="530">
        <v>0</v>
      </c>
      <c r="Q115" s="530">
        <v>0</v>
      </c>
      <c r="R115" s="530">
        <v>0</v>
      </c>
      <c r="S115" s="530">
        <v>217267</v>
      </c>
      <c r="T115" s="530">
        <v>0</v>
      </c>
      <c r="U115" s="530">
        <v>0</v>
      </c>
      <c r="V115" s="530">
        <v>0</v>
      </c>
      <c r="W115" s="530">
        <v>217267</v>
      </c>
    </row>
    <row r="116" spans="1:23" x14ac:dyDescent="0.3">
      <c r="A116" s="176">
        <f t="shared" si="2"/>
        <v>1</v>
      </c>
      <c r="B116" s="526" t="s">
        <v>729</v>
      </c>
      <c r="C116" s="526" t="s">
        <v>495</v>
      </c>
      <c r="D116" s="526" t="s">
        <v>438</v>
      </c>
      <c r="E116" s="526" t="s">
        <v>439</v>
      </c>
      <c r="H116" s="530">
        <v>1994</v>
      </c>
      <c r="I116" s="525" t="s">
        <v>730</v>
      </c>
      <c r="J116" s="525" t="s">
        <v>731</v>
      </c>
      <c r="K116" s="530">
        <v>86800</v>
      </c>
      <c r="L116" s="530">
        <v>0</v>
      </c>
      <c r="M116" s="530">
        <v>0</v>
      </c>
      <c r="N116" s="530">
        <v>86800</v>
      </c>
      <c r="O116" s="530">
        <v>0</v>
      </c>
      <c r="P116" s="530">
        <v>0</v>
      </c>
      <c r="Q116" s="530">
        <v>0</v>
      </c>
      <c r="R116" s="530">
        <v>0</v>
      </c>
      <c r="S116" s="530">
        <v>86800</v>
      </c>
      <c r="T116" s="530">
        <v>0</v>
      </c>
      <c r="U116" s="530">
        <v>0</v>
      </c>
      <c r="V116" s="530">
        <v>0</v>
      </c>
      <c r="W116" s="530">
        <v>86800</v>
      </c>
    </row>
    <row r="117" spans="1:23" ht="51" x14ac:dyDescent="0.3">
      <c r="A117" s="176">
        <f t="shared" si="2"/>
        <v>1</v>
      </c>
      <c r="B117" s="526" t="s">
        <v>732</v>
      </c>
      <c r="C117" s="526" t="s">
        <v>733</v>
      </c>
      <c r="D117" s="526" t="s">
        <v>438</v>
      </c>
      <c r="E117" s="526" t="s">
        <v>439</v>
      </c>
      <c r="H117" s="530">
        <v>418934</v>
      </c>
      <c r="I117" s="525" t="s">
        <v>734</v>
      </c>
      <c r="J117" s="525" t="s">
        <v>735</v>
      </c>
      <c r="K117" s="530">
        <v>31978629</v>
      </c>
      <c r="L117" s="530">
        <v>0</v>
      </c>
      <c r="M117" s="530">
        <v>0</v>
      </c>
      <c r="N117" s="530">
        <v>31978629</v>
      </c>
      <c r="O117" s="530">
        <v>0</v>
      </c>
      <c r="P117" s="530">
        <v>0</v>
      </c>
      <c r="Q117" s="530">
        <v>0</v>
      </c>
      <c r="R117" s="530">
        <v>3757448</v>
      </c>
      <c r="S117" s="530">
        <v>35736077</v>
      </c>
      <c r="T117" s="530">
        <v>0</v>
      </c>
      <c r="U117" s="530">
        <v>0</v>
      </c>
      <c r="V117" s="530">
        <v>0</v>
      </c>
      <c r="W117" s="530">
        <v>35736077</v>
      </c>
    </row>
    <row r="118" spans="1:23" x14ac:dyDescent="0.3">
      <c r="A118" s="176">
        <f t="shared" si="2"/>
        <v>1</v>
      </c>
      <c r="B118" s="526" t="s">
        <v>736</v>
      </c>
      <c r="C118" s="526" t="s">
        <v>470</v>
      </c>
      <c r="D118" s="526" t="s">
        <v>438</v>
      </c>
      <c r="E118" s="526" t="s">
        <v>439</v>
      </c>
      <c r="H118" s="530">
        <v>6537</v>
      </c>
      <c r="I118" s="525" t="s">
        <v>737</v>
      </c>
      <c r="J118" s="525" t="s">
        <v>738</v>
      </c>
      <c r="K118" s="530">
        <v>296567</v>
      </c>
      <c r="L118" s="530">
        <v>0</v>
      </c>
      <c r="M118" s="530">
        <v>0</v>
      </c>
      <c r="N118" s="530">
        <v>296567</v>
      </c>
      <c r="O118" s="530">
        <v>0</v>
      </c>
      <c r="P118" s="530">
        <v>0</v>
      </c>
      <c r="Q118" s="530">
        <v>0</v>
      </c>
      <c r="R118" s="530">
        <v>0</v>
      </c>
      <c r="S118" s="530">
        <v>296567</v>
      </c>
      <c r="T118" s="530">
        <v>0</v>
      </c>
      <c r="U118" s="530">
        <v>0</v>
      </c>
      <c r="V118" s="530">
        <v>0</v>
      </c>
      <c r="W118" s="530">
        <v>296567</v>
      </c>
    </row>
    <row r="119" spans="1:23" x14ac:dyDescent="0.3">
      <c r="A119" s="176">
        <f t="shared" si="2"/>
        <v>1</v>
      </c>
      <c r="B119" s="526" t="s">
        <v>739</v>
      </c>
      <c r="C119" s="526" t="s">
        <v>726</v>
      </c>
      <c r="D119" s="526" t="s">
        <v>438</v>
      </c>
      <c r="E119" s="526" t="s">
        <v>439</v>
      </c>
      <c r="H119" s="530">
        <v>4288</v>
      </c>
      <c r="I119" s="525" t="s">
        <v>448</v>
      </c>
      <c r="J119" s="525" t="s">
        <v>740</v>
      </c>
      <c r="K119" s="530">
        <v>235840</v>
      </c>
      <c r="L119" s="530">
        <v>0</v>
      </c>
      <c r="M119" s="530">
        <v>19653</v>
      </c>
      <c r="N119" s="530">
        <v>216187</v>
      </c>
      <c r="O119" s="530">
        <v>0</v>
      </c>
      <c r="P119" s="530">
        <v>0</v>
      </c>
      <c r="Q119" s="530">
        <v>0</v>
      </c>
      <c r="R119" s="530">
        <v>0</v>
      </c>
      <c r="S119" s="530">
        <v>216187</v>
      </c>
      <c r="T119" s="530">
        <v>300160</v>
      </c>
      <c r="U119" s="530">
        <v>425784</v>
      </c>
      <c r="V119" s="530">
        <v>0</v>
      </c>
      <c r="W119" s="530">
        <v>-509758</v>
      </c>
    </row>
    <row r="120" spans="1:23" x14ac:dyDescent="0.3">
      <c r="A120" s="176">
        <f t="shared" si="2"/>
        <v>1</v>
      </c>
      <c r="B120" s="526" t="s">
        <v>741</v>
      </c>
      <c r="C120" s="526" t="s">
        <v>726</v>
      </c>
      <c r="D120" s="526" t="s">
        <v>438</v>
      </c>
      <c r="E120" s="526" t="s">
        <v>439</v>
      </c>
      <c r="H120" s="530">
        <v>4619</v>
      </c>
      <c r="I120" s="525" t="s">
        <v>448</v>
      </c>
      <c r="J120" s="525" t="s">
        <v>742</v>
      </c>
      <c r="K120" s="530">
        <v>258664</v>
      </c>
      <c r="L120" s="530">
        <v>0</v>
      </c>
      <c r="M120" s="530">
        <v>21555</v>
      </c>
      <c r="N120" s="530">
        <v>237109</v>
      </c>
      <c r="O120" s="530">
        <v>0</v>
      </c>
      <c r="P120" s="530">
        <v>0</v>
      </c>
      <c r="Q120" s="530">
        <v>0</v>
      </c>
      <c r="R120" s="530">
        <v>0</v>
      </c>
      <c r="S120" s="530">
        <v>237109</v>
      </c>
      <c r="T120" s="530">
        <v>300235</v>
      </c>
      <c r="U120" s="530">
        <v>487194</v>
      </c>
      <c r="V120" s="530">
        <v>0</v>
      </c>
      <c r="W120" s="530">
        <v>-550320</v>
      </c>
    </row>
    <row r="121" spans="1:23" x14ac:dyDescent="0.3">
      <c r="A121" s="176">
        <f t="shared" si="2"/>
        <v>1</v>
      </c>
      <c r="B121" s="526" t="s">
        <v>743</v>
      </c>
      <c r="C121" s="526" t="s">
        <v>528</v>
      </c>
      <c r="D121" s="526" t="s">
        <v>438</v>
      </c>
      <c r="E121" s="526" t="s">
        <v>439</v>
      </c>
      <c r="H121" s="530">
        <v>2623</v>
      </c>
      <c r="I121" s="525" t="s">
        <v>744</v>
      </c>
      <c r="J121" s="525" t="s">
        <v>453</v>
      </c>
      <c r="K121" s="530">
        <v>114985</v>
      </c>
      <c r="L121" s="530">
        <v>0</v>
      </c>
      <c r="M121" s="530">
        <v>0</v>
      </c>
      <c r="N121" s="530">
        <v>114985</v>
      </c>
      <c r="O121" s="530">
        <v>0</v>
      </c>
      <c r="P121" s="530">
        <v>0</v>
      </c>
      <c r="Q121" s="530">
        <v>0</v>
      </c>
      <c r="R121" s="530">
        <v>15657</v>
      </c>
      <c r="S121" s="530">
        <v>130642</v>
      </c>
      <c r="T121" s="530">
        <v>0</v>
      </c>
      <c r="U121" s="530">
        <v>0</v>
      </c>
      <c r="V121" s="530">
        <v>0</v>
      </c>
      <c r="W121" s="530">
        <v>130642</v>
      </c>
    </row>
    <row r="122" spans="1:23" x14ac:dyDescent="0.3">
      <c r="A122" s="176">
        <f t="shared" si="2"/>
        <v>1</v>
      </c>
      <c r="B122" s="526" t="s">
        <v>745</v>
      </c>
      <c r="C122" s="526" t="s">
        <v>746</v>
      </c>
      <c r="D122" s="526" t="s">
        <v>438</v>
      </c>
      <c r="E122" s="526" t="s">
        <v>439</v>
      </c>
      <c r="H122" s="530">
        <v>7637</v>
      </c>
      <c r="I122" s="525" t="s">
        <v>448</v>
      </c>
      <c r="J122" s="525" t="s">
        <v>747</v>
      </c>
      <c r="K122" s="530">
        <v>236747</v>
      </c>
      <c r="L122" s="530">
        <v>0</v>
      </c>
      <c r="M122" s="530">
        <v>19729</v>
      </c>
      <c r="N122" s="530">
        <v>217018</v>
      </c>
      <c r="O122" s="530">
        <v>0</v>
      </c>
      <c r="P122" s="530">
        <v>0</v>
      </c>
      <c r="Q122" s="530">
        <v>0</v>
      </c>
      <c r="R122" s="530">
        <v>0</v>
      </c>
      <c r="S122" s="530">
        <v>217018</v>
      </c>
      <c r="T122" s="530">
        <v>381850</v>
      </c>
      <c r="U122" s="530">
        <v>49176</v>
      </c>
      <c r="V122" s="530">
        <v>0</v>
      </c>
      <c r="W122" s="530">
        <v>-214008</v>
      </c>
    </row>
    <row r="123" spans="1:23" x14ac:dyDescent="0.3">
      <c r="A123" s="176">
        <f t="shared" si="2"/>
        <v>1</v>
      </c>
      <c r="B123" s="526" t="s">
        <v>748</v>
      </c>
      <c r="C123" s="526" t="s">
        <v>749</v>
      </c>
      <c r="D123" s="526" t="s">
        <v>438</v>
      </c>
      <c r="E123" s="526" t="s">
        <v>439</v>
      </c>
      <c r="H123" s="530">
        <v>5745</v>
      </c>
      <c r="I123" s="525" t="s">
        <v>448</v>
      </c>
      <c r="J123" s="525" t="s">
        <v>750</v>
      </c>
      <c r="K123" s="530">
        <v>247035</v>
      </c>
      <c r="L123" s="530">
        <v>0</v>
      </c>
      <c r="M123" s="530">
        <v>20586</v>
      </c>
      <c r="N123" s="530">
        <v>226449</v>
      </c>
      <c r="O123" s="530">
        <v>0</v>
      </c>
      <c r="P123" s="530">
        <v>0</v>
      </c>
      <c r="Q123" s="530">
        <v>0</v>
      </c>
      <c r="R123" s="530">
        <v>177917</v>
      </c>
      <c r="S123" s="530">
        <v>404366</v>
      </c>
      <c r="T123" s="530">
        <v>402150</v>
      </c>
      <c r="U123" s="530">
        <v>195097</v>
      </c>
      <c r="V123" s="530">
        <v>0</v>
      </c>
      <c r="W123" s="530">
        <v>-192881</v>
      </c>
    </row>
    <row r="124" spans="1:23" x14ac:dyDescent="0.3">
      <c r="A124" s="176">
        <f t="shared" si="2"/>
        <v>1</v>
      </c>
      <c r="B124" s="526" t="s">
        <v>751</v>
      </c>
      <c r="C124" s="526" t="s">
        <v>437</v>
      </c>
      <c r="D124" s="526" t="s">
        <v>438</v>
      </c>
      <c r="E124" s="526" t="s">
        <v>439</v>
      </c>
      <c r="H124" s="530">
        <v>500</v>
      </c>
      <c r="I124" s="525" t="s">
        <v>554</v>
      </c>
      <c r="J124" s="525" t="s">
        <v>555</v>
      </c>
      <c r="K124" s="530">
        <v>25841</v>
      </c>
      <c r="L124" s="530">
        <v>0</v>
      </c>
      <c r="M124" s="530">
        <v>0</v>
      </c>
      <c r="N124" s="530">
        <v>25841</v>
      </c>
      <c r="O124" s="530">
        <v>0</v>
      </c>
      <c r="P124" s="530">
        <v>0</v>
      </c>
      <c r="Q124" s="530">
        <v>0</v>
      </c>
      <c r="R124" s="530">
        <v>0</v>
      </c>
      <c r="S124" s="530">
        <v>25841</v>
      </c>
      <c r="T124" s="530">
        <v>0</v>
      </c>
      <c r="U124" s="530">
        <v>0</v>
      </c>
      <c r="V124" s="530">
        <v>0</v>
      </c>
      <c r="W124" s="530">
        <v>25841</v>
      </c>
    </row>
    <row r="125" spans="1:23" x14ac:dyDescent="0.3">
      <c r="A125" s="176">
        <f t="shared" si="2"/>
        <v>1</v>
      </c>
      <c r="B125" s="526" t="s">
        <v>752</v>
      </c>
      <c r="C125" s="526" t="s">
        <v>662</v>
      </c>
      <c r="D125" s="526" t="s">
        <v>438</v>
      </c>
      <c r="E125" s="526" t="s">
        <v>439</v>
      </c>
      <c r="H125" s="530">
        <v>1893</v>
      </c>
      <c r="I125" s="525" t="s">
        <v>706</v>
      </c>
      <c r="J125" s="525" t="s">
        <v>728</v>
      </c>
      <c r="K125" s="530">
        <v>91179</v>
      </c>
      <c r="L125" s="530">
        <v>0</v>
      </c>
      <c r="M125" s="530">
        <v>0</v>
      </c>
      <c r="N125" s="530">
        <v>91179</v>
      </c>
      <c r="O125" s="530">
        <v>0</v>
      </c>
      <c r="P125" s="530">
        <v>0</v>
      </c>
      <c r="Q125" s="530">
        <v>0</v>
      </c>
      <c r="R125" s="530">
        <v>16978</v>
      </c>
      <c r="S125" s="530">
        <v>108158</v>
      </c>
      <c r="T125" s="530">
        <v>0</v>
      </c>
      <c r="U125" s="530">
        <v>0</v>
      </c>
      <c r="V125" s="530">
        <v>0</v>
      </c>
      <c r="W125" s="530">
        <v>108158</v>
      </c>
    </row>
    <row r="126" spans="1:23" x14ac:dyDescent="0.3">
      <c r="A126" s="176">
        <f t="shared" si="2"/>
        <v>1</v>
      </c>
      <c r="B126" s="526" t="s">
        <v>753</v>
      </c>
      <c r="C126" s="526" t="s">
        <v>507</v>
      </c>
      <c r="D126" s="526" t="s">
        <v>438</v>
      </c>
      <c r="E126" s="526" t="s">
        <v>439</v>
      </c>
      <c r="H126" s="530">
        <v>5757</v>
      </c>
      <c r="I126" s="525" t="s">
        <v>448</v>
      </c>
      <c r="J126" s="525" t="s">
        <v>754</v>
      </c>
      <c r="K126" s="530">
        <v>276336</v>
      </c>
      <c r="L126" s="530">
        <v>0</v>
      </c>
      <c r="M126" s="530">
        <v>23028</v>
      </c>
      <c r="N126" s="530">
        <v>253308</v>
      </c>
      <c r="O126" s="530">
        <v>0</v>
      </c>
      <c r="P126" s="530">
        <v>0</v>
      </c>
      <c r="Q126" s="530">
        <v>0</v>
      </c>
      <c r="R126" s="530">
        <v>0</v>
      </c>
      <c r="S126" s="530">
        <v>253308</v>
      </c>
      <c r="T126" s="530">
        <v>287850</v>
      </c>
      <c r="U126" s="530">
        <v>456369</v>
      </c>
      <c r="V126" s="530">
        <v>0</v>
      </c>
      <c r="W126" s="530">
        <v>-490911</v>
      </c>
    </row>
    <row r="127" spans="1:23" x14ac:dyDescent="0.3">
      <c r="A127" s="176">
        <f t="shared" si="2"/>
        <v>1</v>
      </c>
      <c r="B127" s="526" t="s">
        <v>755</v>
      </c>
      <c r="C127" s="526" t="s">
        <v>636</v>
      </c>
      <c r="D127" s="526" t="s">
        <v>438</v>
      </c>
      <c r="E127" s="526" t="s">
        <v>439</v>
      </c>
      <c r="H127" s="530">
        <v>3143</v>
      </c>
      <c r="I127" s="525" t="s">
        <v>459</v>
      </c>
      <c r="J127" s="525" t="s">
        <v>601</v>
      </c>
      <c r="K127" s="530">
        <v>137589</v>
      </c>
      <c r="L127" s="530">
        <v>0</v>
      </c>
      <c r="M127" s="530">
        <v>0</v>
      </c>
      <c r="N127" s="530">
        <v>137589</v>
      </c>
      <c r="O127" s="530">
        <v>0</v>
      </c>
      <c r="P127" s="530">
        <v>0</v>
      </c>
      <c r="Q127" s="530">
        <v>0</v>
      </c>
      <c r="R127" s="530">
        <v>0</v>
      </c>
      <c r="S127" s="530">
        <v>137589</v>
      </c>
      <c r="T127" s="530">
        <v>0</v>
      </c>
      <c r="U127" s="530">
        <v>0</v>
      </c>
      <c r="V127" s="530">
        <v>0</v>
      </c>
      <c r="W127" s="530">
        <v>137589</v>
      </c>
    </row>
    <row r="128" spans="1:23" x14ac:dyDescent="0.3">
      <c r="A128" s="176">
        <f t="shared" si="2"/>
        <v>1</v>
      </c>
      <c r="B128" s="526" t="s">
        <v>756</v>
      </c>
      <c r="C128" s="526" t="s">
        <v>477</v>
      </c>
      <c r="D128" s="526" t="s">
        <v>438</v>
      </c>
      <c r="E128" s="526" t="s">
        <v>439</v>
      </c>
      <c r="H128" s="530">
        <v>5733</v>
      </c>
      <c r="I128" s="525" t="s">
        <v>448</v>
      </c>
      <c r="J128" s="525" t="s">
        <v>757</v>
      </c>
      <c r="K128" s="530">
        <v>252252</v>
      </c>
      <c r="L128" s="530">
        <v>0</v>
      </c>
      <c r="M128" s="530">
        <v>21021</v>
      </c>
      <c r="N128" s="530">
        <v>231231</v>
      </c>
      <c r="O128" s="530">
        <v>0</v>
      </c>
      <c r="P128" s="530">
        <v>0</v>
      </c>
      <c r="Q128" s="530">
        <v>0</v>
      </c>
      <c r="R128" s="530">
        <v>0</v>
      </c>
      <c r="S128" s="530">
        <v>231231</v>
      </c>
      <c r="T128" s="530">
        <v>458640</v>
      </c>
      <c r="U128" s="530">
        <v>182247</v>
      </c>
      <c r="V128" s="530">
        <v>0</v>
      </c>
      <c r="W128" s="530">
        <v>-409656</v>
      </c>
    </row>
    <row r="129" spans="1:23" x14ac:dyDescent="0.3">
      <c r="A129" s="176">
        <f t="shared" si="2"/>
        <v>1</v>
      </c>
      <c r="B129" s="526" t="s">
        <v>758</v>
      </c>
      <c r="C129" s="526" t="s">
        <v>477</v>
      </c>
      <c r="D129" s="526" t="s">
        <v>438</v>
      </c>
      <c r="E129" s="526" t="s">
        <v>439</v>
      </c>
      <c r="H129" s="530">
        <v>5470</v>
      </c>
      <c r="I129" s="525" t="s">
        <v>759</v>
      </c>
      <c r="J129" s="525" t="s">
        <v>530</v>
      </c>
      <c r="K129" s="530">
        <v>255487</v>
      </c>
      <c r="L129" s="530">
        <v>0</v>
      </c>
      <c r="M129" s="530">
        <v>0</v>
      </c>
      <c r="N129" s="530">
        <v>255487</v>
      </c>
      <c r="O129" s="530">
        <v>0</v>
      </c>
      <c r="P129" s="530">
        <v>0</v>
      </c>
      <c r="Q129" s="530">
        <v>0</v>
      </c>
      <c r="R129" s="530">
        <v>21711</v>
      </c>
      <c r="S129" s="530">
        <v>277197</v>
      </c>
      <c r="T129" s="530">
        <v>0</v>
      </c>
      <c r="U129" s="530">
        <v>0</v>
      </c>
      <c r="V129" s="530">
        <v>0</v>
      </c>
      <c r="W129" s="530">
        <v>277197</v>
      </c>
    </row>
    <row r="130" spans="1:23" x14ac:dyDescent="0.3">
      <c r="A130" s="176">
        <f t="shared" si="2"/>
        <v>1</v>
      </c>
      <c r="B130" s="526" t="s">
        <v>760</v>
      </c>
      <c r="C130" s="526" t="s">
        <v>726</v>
      </c>
      <c r="D130" s="526" t="s">
        <v>438</v>
      </c>
      <c r="E130" s="526" t="s">
        <v>439</v>
      </c>
      <c r="H130" s="530">
        <v>1899</v>
      </c>
      <c r="I130" s="525" t="s">
        <v>655</v>
      </c>
      <c r="J130" s="525" t="s">
        <v>761</v>
      </c>
      <c r="K130" s="530">
        <v>95339</v>
      </c>
      <c r="L130" s="530">
        <v>0</v>
      </c>
      <c r="M130" s="530">
        <v>0</v>
      </c>
      <c r="N130" s="530">
        <v>95339</v>
      </c>
      <c r="O130" s="530">
        <v>0</v>
      </c>
      <c r="P130" s="530">
        <v>0</v>
      </c>
      <c r="Q130" s="530">
        <v>0</v>
      </c>
      <c r="R130" s="530">
        <v>0</v>
      </c>
      <c r="S130" s="530">
        <v>95339</v>
      </c>
      <c r="T130" s="530">
        <v>0</v>
      </c>
      <c r="U130" s="530">
        <v>0</v>
      </c>
      <c r="V130" s="530">
        <v>0</v>
      </c>
      <c r="W130" s="530">
        <v>95339</v>
      </c>
    </row>
    <row r="131" spans="1:23" x14ac:dyDescent="0.3">
      <c r="A131" s="176">
        <f t="shared" si="2"/>
        <v>1</v>
      </c>
      <c r="B131" s="526" t="s">
        <v>762</v>
      </c>
      <c r="C131" s="526" t="s">
        <v>763</v>
      </c>
      <c r="D131" s="526" t="s">
        <v>438</v>
      </c>
      <c r="E131" s="526" t="s">
        <v>439</v>
      </c>
      <c r="H131" s="530">
        <v>5886</v>
      </c>
      <c r="I131" s="525" t="s">
        <v>448</v>
      </c>
      <c r="J131" s="525" t="s">
        <v>580</v>
      </c>
      <c r="K131" s="530">
        <v>247212</v>
      </c>
      <c r="L131" s="530">
        <v>0</v>
      </c>
      <c r="M131" s="530">
        <v>20601</v>
      </c>
      <c r="N131" s="530">
        <v>226611</v>
      </c>
      <c r="O131" s="530">
        <v>0</v>
      </c>
      <c r="P131" s="530">
        <v>0</v>
      </c>
      <c r="Q131" s="530">
        <v>0</v>
      </c>
      <c r="R131" s="530">
        <v>0</v>
      </c>
      <c r="S131" s="530">
        <v>226611</v>
      </c>
      <c r="T131" s="530">
        <v>412020</v>
      </c>
      <c r="U131" s="530">
        <v>82220</v>
      </c>
      <c r="V131" s="530">
        <v>0</v>
      </c>
      <c r="W131" s="530">
        <v>-267629</v>
      </c>
    </row>
    <row r="132" spans="1:23" x14ac:dyDescent="0.3">
      <c r="A132" s="176">
        <f t="shared" si="2"/>
        <v>1</v>
      </c>
      <c r="B132" s="526" t="s">
        <v>764</v>
      </c>
      <c r="C132" s="526" t="s">
        <v>437</v>
      </c>
      <c r="D132" s="526" t="s">
        <v>438</v>
      </c>
      <c r="E132" s="526" t="s">
        <v>439</v>
      </c>
      <c r="H132" s="530">
        <v>500</v>
      </c>
      <c r="I132" s="525" t="s">
        <v>567</v>
      </c>
      <c r="J132" s="525" t="s">
        <v>765</v>
      </c>
      <c r="K132" s="530">
        <v>28053</v>
      </c>
      <c r="L132" s="530">
        <v>0</v>
      </c>
      <c r="M132" s="530">
        <v>0</v>
      </c>
      <c r="N132" s="530">
        <v>28053</v>
      </c>
      <c r="O132" s="530">
        <v>0</v>
      </c>
      <c r="P132" s="530">
        <v>0</v>
      </c>
      <c r="Q132" s="530">
        <v>0</v>
      </c>
      <c r="R132" s="530">
        <v>3985</v>
      </c>
      <c r="S132" s="530">
        <v>32037</v>
      </c>
      <c r="T132" s="530">
        <v>0</v>
      </c>
      <c r="U132" s="530">
        <v>0</v>
      </c>
      <c r="V132" s="530">
        <v>0</v>
      </c>
      <c r="W132" s="530">
        <v>32037</v>
      </c>
    </row>
    <row r="133" spans="1:23" x14ac:dyDescent="0.3">
      <c r="A133" s="176">
        <f t="shared" si="2"/>
        <v>1</v>
      </c>
      <c r="B133" s="526" t="s">
        <v>766</v>
      </c>
      <c r="C133" s="526" t="s">
        <v>536</v>
      </c>
      <c r="D133" s="526" t="s">
        <v>438</v>
      </c>
      <c r="E133" s="526" t="s">
        <v>439</v>
      </c>
      <c r="H133" s="530">
        <v>1424</v>
      </c>
      <c r="I133" s="525" t="s">
        <v>767</v>
      </c>
      <c r="J133" s="525" t="s">
        <v>445</v>
      </c>
      <c r="K133" s="530">
        <v>69920</v>
      </c>
      <c r="L133" s="530">
        <v>0</v>
      </c>
      <c r="M133" s="530">
        <v>0</v>
      </c>
      <c r="N133" s="530">
        <v>69920</v>
      </c>
      <c r="O133" s="530">
        <v>0</v>
      </c>
      <c r="P133" s="530">
        <v>0</v>
      </c>
      <c r="Q133" s="530">
        <v>0</v>
      </c>
      <c r="R133" s="530">
        <v>12772</v>
      </c>
      <c r="S133" s="530">
        <v>82692</v>
      </c>
      <c r="T133" s="530">
        <v>0</v>
      </c>
      <c r="U133" s="530">
        <v>0</v>
      </c>
      <c r="V133" s="530">
        <v>0</v>
      </c>
      <c r="W133" s="530">
        <v>82692</v>
      </c>
    </row>
    <row r="134" spans="1:23" x14ac:dyDescent="0.3">
      <c r="A134" s="176">
        <f t="shared" si="2"/>
        <v>1</v>
      </c>
      <c r="B134" s="526" t="s">
        <v>768</v>
      </c>
      <c r="C134" s="526" t="s">
        <v>437</v>
      </c>
      <c r="D134" s="526" t="s">
        <v>438</v>
      </c>
      <c r="E134" s="526" t="s">
        <v>439</v>
      </c>
      <c r="H134" s="530">
        <v>500</v>
      </c>
      <c r="I134" s="525" t="s">
        <v>456</v>
      </c>
      <c r="J134" s="525" t="s">
        <v>486</v>
      </c>
      <c r="K134" s="530">
        <v>24032</v>
      </c>
      <c r="L134" s="530">
        <v>0</v>
      </c>
      <c r="M134" s="530">
        <v>0</v>
      </c>
      <c r="N134" s="530">
        <v>24032</v>
      </c>
      <c r="O134" s="530">
        <v>0</v>
      </c>
      <c r="P134" s="530">
        <v>0</v>
      </c>
      <c r="Q134" s="530">
        <v>0</v>
      </c>
      <c r="R134" s="530">
        <v>1985</v>
      </c>
      <c r="S134" s="530">
        <v>26017</v>
      </c>
      <c r="T134" s="530">
        <v>0</v>
      </c>
      <c r="U134" s="530">
        <v>0</v>
      </c>
      <c r="V134" s="530">
        <v>0</v>
      </c>
      <c r="W134" s="530">
        <v>26017</v>
      </c>
    </row>
    <row r="135" spans="1:23" x14ac:dyDescent="0.3">
      <c r="A135" s="176">
        <f t="shared" si="2"/>
        <v>1</v>
      </c>
      <c r="B135" s="526" t="s">
        <v>769</v>
      </c>
      <c r="C135" s="526" t="s">
        <v>726</v>
      </c>
      <c r="D135" s="526" t="s">
        <v>438</v>
      </c>
      <c r="E135" s="526" t="s">
        <v>439</v>
      </c>
      <c r="H135" s="530">
        <v>794</v>
      </c>
      <c r="I135" s="525" t="s">
        <v>770</v>
      </c>
      <c r="J135" s="525" t="s">
        <v>549</v>
      </c>
      <c r="K135" s="530">
        <v>33839</v>
      </c>
      <c r="L135" s="530">
        <v>0</v>
      </c>
      <c r="M135" s="530">
        <v>0</v>
      </c>
      <c r="N135" s="530">
        <v>33839</v>
      </c>
      <c r="O135" s="530">
        <v>0</v>
      </c>
      <c r="P135" s="530">
        <v>0</v>
      </c>
      <c r="Q135" s="530">
        <v>0</v>
      </c>
      <c r="R135" s="530">
        <v>6327</v>
      </c>
      <c r="S135" s="530">
        <v>40167</v>
      </c>
      <c r="T135" s="530">
        <v>0</v>
      </c>
      <c r="U135" s="530">
        <v>0</v>
      </c>
      <c r="V135" s="530">
        <v>0</v>
      </c>
      <c r="W135" s="530">
        <v>40167</v>
      </c>
    </row>
    <row r="136" spans="1:23" x14ac:dyDescent="0.3">
      <c r="A136" s="176">
        <f t="shared" si="2"/>
        <v>1</v>
      </c>
      <c r="B136" s="526" t="s">
        <v>771</v>
      </c>
      <c r="C136" s="526" t="s">
        <v>484</v>
      </c>
      <c r="D136" s="526" t="s">
        <v>438</v>
      </c>
      <c r="E136" s="526" t="s">
        <v>439</v>
      </c>
      <c r="H136" s="530">
        <v>2580</v>
      </c>
      <c r="I136" s="525" t="s">
        <v>772</v>
      </c>
      <c r="J136" s="525" t="s">
        <v>530</v>
      </c>
      <c r="K136" s="530">
        <v>114077</v>
      </c>
      <c r="L136" s="530">
        <v>0</v>
      </c>
      <c r="M136" s="530">
        <v>0</v>
      </c>
      <c r="N136" s="530">
        <v>114077</v>
      </c>
      <c r="O136" s="530">
        <v>0</v>
      </c>
      <c r="P136" s="530">
        <v>0</v>
      </c>
      <c r="Q136" s="530">
        <v>0</v>
      </c>
      <c r="R136" s="530">
        <v>17980</v>
      </c>
      <c r="S136" s="530">
        <v>132057</v>
      </c>
      <c r="T136" s="530">
        <v>0</v>
      </c>
      <c r="U136" s="530">
        <v>0</v>
      </c>
      <c r="V136" s="530">
        <v>0</v>
      </c>
      <c r="W136" s="530">
        <v>132057</v>
      </c>
    </row>
    <row r="137" spans="1:23" x14ac:dyDescent="0.3">
      <c r="A137" s="176">
        <f t="shared" si="2"/>
        <v>1</v>
      </c>
      <c r="B137" s="526" t="s">
        <v>773</v>
      </c>
      <c r="C137" s="526" t="s">
        <v>532</v>
      </c>
      <c r="D137" s="526" t="s">
        <v>438</v>
      </c>
      <c r="E137" s="526" t="s">
        <v>439</v>
      </c>
      <c r="H137" s="530">
        <v>11519</v>
      </c>
      <c r="I137" s="525" t="s">
        <v>448</v>
      </c>
      <c r="J137" s="525" t="s">
        <v>774</v>
      </c>
      <c r="K137" s="530">
        <v>276456</v>
      </c>
      <c r="L137" s="530">
        <v>0</v>
      </c>
      <c r="M137" s="530">
        <v>46076</v>
      </c>
      <c r="N137" s="530">
        <v>230380</v>
      </c>
      <c r="O137" s="530">
        <v>0</v>
      </c>
      <c r="P137" s="530">
        <v>0</v>
      </c>
      <c r="Q137" s="530">
        <v>0</v>
      </c>
      <c r="R137" s="530">
        <v>0</v>
      </c>
      <c r="S137" s="530">
        <v>230380</v>
      </c>
      <c r="T137" s="530">
        <v>691140</v>
      </c>
      <c r="U137" s="530">
        <v>372592</v>
      </c>
      <c r="V137" s="530">
        <v>0</v>
      </c>
      <c r="W137" s="530">
        <v>-833352</v>
      </c>
    </row>
    <row r="138" spans="1:23" x14ac:dyDescent="0.3">
      <c r="A138" s="176">
        <f t="shared" si="2"/>
        <v>1</v>
      </c>
      <c r="B138" s="526" t="s">
        <v>775</v>
      </c>
      <c r="C138" s="526" t="s">
        <v>540</v>
      </c>
      <c r="D138" s="526" t="s">
        <v>438</v>
      </c>
      <c r="E138" s="526" t="s">
        <v>439</v>
      </c>
      <c r="H138" s="530">
        <v>3265</v>
      </c>
      <c r="I138" s="525" t="s">
        <v>776</v>
      </c>
      <c r="J138" s="525" t="s">
        <v>777</v>
      </c>
      <c r="K138" s="530">
        <v>171996</v>
      </c>
      <c r="L138" s="530">
        <v>70742</v>
      </c>
      <c r="M138" s="530">
        <v>0</v>
      </c>
      <c r="N138" s="530">
        <v>101254</v>
      </c>
      <c r="O138" s="530">
        <v>0</v>
      </c>
      <c r="P138" s="530">
        <v>0</v>
      </c>
      <c r="Q138" s="530">
        <v>0</v>
      </c>
      <c r="R138" s="530">
        <v>0</v>
      </c>
      <c r="S138" s="530">
        <v>101254</v>
      </c>
      <c r="T138" s="530">
        <v>0</v>
      </c>
      <c r="U138" s="530">
        <v>0</v>
      </c>
      <c r="V138" s="530">
        <v>0</v>
      </c>
      <c r="W138" s="530">
        <v>101254</v>
      </c>
    </row>
    <row r="139" spans="1:23" x14ac:dyDescent="0.3">
      <c r="A139" s="176">
        <f t="shared" si="2"/>
        <v>1</v>
      </c>
      <c r="B139" s="526" t="s">
        <v>778</v>
      </c>
      <c r="C139" s="526" t="s">
        <v>466</v>
      </c>
      <c r="D139" s="526" t="s">
        <v>438</v>
      </c>
      <c r="E139" s="526" t="s">
        <v>439</v>
      </c>
      <c r="H139" s="530">
        <v>1899</v>
      </c>
      <c r="I139" s="525" t="s">
        <v>779</v>
      </c>
      <c r="J139" s="525" t="s">
        <v>703</v>
      </c>
      <c r="K139" s="530">
        <v>89202</v>
      </c>
      <c r="L139" s="530">
        <v>0</v>
      </c>
      <c r="M139" s="530">
        <v>0</v>
      </c>
      <c r="N139" s="530">
        <v>89202</v>
      </c>
      <c r="O139" s="530">
        <v>0</v>
      </c>
      <c r="P139" s="530">
        <v>0</v>
      </c>
      <c r="Q139" s="530">
        <v>0</v>
      </c>
      <c r="R139" s="530">
        <v>17032</v>
      </c>
      <c r="S139" s="530">
        <v>106234</v>
      </c>
      <c r="T139" s="530">
        <v>0</v>
      </c>
      <c r="U139" s="530">
        <v>0</v>
      </c>
      <c r="V139" s="530">
        <v>0</v>
      </c>
      <c r="W139" s="530">
        <v>106234</v>
      </c>
    </row>
    <row r="140" spans="1:23" x14ac:dyDescent="0.3">
      <c r="A140" s="176">
        <f t="shared" si="2"/>
        <v>1</v>
      </c>
      <c r="B140" s="526" t="s">
        <v>780</v>
      </c>
      <c r="C140" s="526" t="s">
        <v>492</v>
      </c>
      <c r="D140" s="526" t="s">
        <v>438</v>
      </c>
      <c r="E140" s="526" t="s">
        <v>439</v>
      </c>
      <c r="H140" s="530">
        <v>5856</v>
      </c>
      <c r="I140" s="525" t="s">
        <v>448</v>
      </c>
      <c r="J140" s="525" t="s">
        <v>781</v>
      </c>
      <c r="K140" s="530">
        <v>275232</v>
      </c>
      <c r="L140" s="530">
        <v>0</v>
      </c>
      <c r="M140" s="530">
        <v>22936</v>
      </c>
      <c r="N140" s="530">
        <v>252296</v>
      </c>
      <c r="O140" s="530">
        <v>0</v>
      </c>
      <c r="P140" s="530">
        <v>0</v>
      </c>
      <c r="Q140" s="530">
        <v>0</v>
      </c>
      <c r="R140" s="530">
        <v>0</v>
      </c>
      <c r="S140" s="530">
        <v>252296</v>
      </c>
      <c r="T140" s="530">
        <v>380640</v>
      </c>
      <c r="U140" s="530">
        <v>433681</v>
      </c>
      <c r="V140" s="530">
        <v>0</v>
      </c>
      <c r="W140" s="530">
        <v>-562025</v>
      </c>
    </row>
    <row r="141" spans="1:23" x14ac:dyDescent="0.3">
      <c r="A141" s="176">
        <f t="shared" ref="A141:A204" si="3">IF(E141="Contract",1,0)</f>
        <v>1</v>
      </c>
      <c r="B141" s="526" t="s">
        <v>782</v>
      </c>
      <c r="C141" s="526" t="s">
        <v>713</v>
      </c>
      <c r="D141" s="526" t="s">
        <v>438</v>
      </c>
      <c r="E141" s="526" t="s">
        <v>439</v>
      </c>
      <c r="H141" s="530">
        <v>10382</v>
      </c>
      <c r="I141" s="525" t="s">
        <v>448</v>
      </c>
      <c r="J141" s="525" t="s">
        <v>783</v>
      </c>
      <c r="K141" s="530">
        <v>238786</v>
      </c>
      <c r="L141" s="530">
        <v>0</v>
      </c>
      <c r="M141" s="530">
        <v>39798</v>
      </c>
      <c r="N141" s="530">
        <v>198988</v>
      </c>
      <c r="O141" s="530">
        <v>0</v>
      </c>
      <c r="P141" s="530">
        <v>0</v>
      </c>
      <c r="Q141" s="530">
        <v>0</v>
      </c>
      <c r="R141" s="530">
        <v>0</v>
      </c>
      <c r="S141" s="530">
        <v>198988</v>
      </c>
      <c r="T141" s="530">
        <v>571010</v>
      </c>
      <c r="U141" s="530">
        <v>339392</v>
      </c>
      <c r="V141" s="530">
        <v>0</v>
      </c>
      <c r="W141" s="530">
        <v>-711414</v>
      </c>
    </row>
    <row r="142" spans="1:23" x14ac:dyDescent="0.3">
      <c r="A142" s="176">
        <f t="shared" si="3"/>
        <v>1</v>
      </c>
      <c r="B142" s="526" t="s">
        <v>784</v>
      </c>
      <c r="C142" s="526" t="s">
        <v>713</v>
      </c>
      <c r="D142" s="526" t="s">
        <v>438</v>
      </c>
      <c r="E142" s="526" t="s">
        <v>439</v>
      </c>
      <c r="H142" s="530">
        <v>10101</v>
      </c>
      <c r="I142" s="525" t="s">
        <v>448</v>
      </c>
      <c r="J142" s="525" t="s">
        <v>785</v>
      </c>
      <c r="K142" s="530">
        <v>232323</v>
      </c>
      <c r="L142" s="530">
        <v>0</v>
      </c>
      <c r="M142" s="530">
        <v>38721</v>
      </c>
      <c r="N142" s="530">
        <v>193603</v>
      </c>
      <c r="O142" s="530">
        <v>0</v>
      </c>
      <c r="P142" s="530">
        <v>0</v>
      </c>
      <c r="Q142" s="530">
        <v>0</v>
      </c>
      <c r="R142" s="530">
        <v>0</v>
      </c>
      <c r="S142" s="530">
        <v>193603</v>
      </c>
      <c r="T142" s="530">
        <v>656565</v>
      </c>
      <c r="U142" s="530">
        <v>120721</v>
      </c>
      <c r="V142" s="530">
        <v>0</v>
      </c>
      <c r="W142" s="530">
        <v>-583684</v>
      </c>
    </row>
    <row r="143" spans="1:23" x14ac:dyDescent="0.3">
      <c r="A143" s="176">
        <f t="shared" si="3"/>
        <v>1</v>
      </c>
      <c r="B143" s="526" t="s">
        <v>786</v>
      </c>
      <c r="C143" s="526" t="s">
        <v>723</v>
      </c>
      <c r="D143" s="526" t="s">
        <v>438</v>
      </c>
      <c r="E143" s="526" t="s">
        <v>439</v>
      </c>
      <c r="H143" s="530">
        <v>7609</v>
      </c>
      <c r="I143" s="525" t="s">
        <v>448</v>
      </c>
      <c r="J143" s="525" t="s">
        <v>514</v>
      </c>
      <c r="K143" s="530">
        <v>365232</v>
      </c>
      <c r="L143" s="530">
        <v>206077</v>
      </c>
      <c r="M143" s="530">
        <v>60872</v>
      </c>
      <c r="N143" s="530">
        <v>98283</v>
      </c>
      <c r="O143" s="530">
        <v>0</v>
      </c>
      <c r="P143" s="530">
        <v>0</v>
      </c>
      <c r="Q143" s="530">
        <v>0</v>
      </c>
      <c r="R143" s="530">
        <v>0</v>
      </c>
      <c r="S143" s="530">
        <v>98283</v>
      </c>
      <c r="T143" s="530">
        <v>867426</v>
      </c>
      <c r="U143" s="530">
        <v>218377</v>
      </c>
      <c r="V143" s="530">
        <v>0</v>
      </c>
      <c r="W143" s="530">
        <v>-987520</v>
      </c>
    </row>
    <row r="144" spans="1:23" x14ac:dyDescent="0.3">
      <c r="A144" s="176">
        <f t="shared" si="3"/>
        <v>1</v>
      </c>
      <c r="B144" s="526" t="s">
        <v>787</v>
      </c>
      <c r="C144" s="526" t="s">
        <v>763</v>
      </c>
      <c r="D144" s="526" t="s">
        <v>438</v>
      </c>
      <c r="E144" s="526" t="s">
        <v>439</v>
      </c>
      <c r="H144" s="530">
        <v>11004</v>
      </c>
      <c r="I144" s="525" t="s">
        <v>448</v>
      </c>
      <c r="J144" s="525" t="s">
        <v>788</v>
      </c>
      <c r="K144" s="530">
        <v>231084</v>
      </c>
      <c r="L144" s="530">
        <v>0</v>
      </c>
      <c r="M144" s="530">
        <v>38514</v>
      </c>
      <c r="N144" s="530">
        <v>192570</v>
      </c>
      <c r="O144" s="530">
        <v>0</v>
      </c>
      <c r="P144" s="530">
        <v>0</v>
      </c>
      <c r="Q144" s="530">
        <v>0</v>
      </c>
      <c r="R144" s="530">
        <v>0</v>
      </c>
      <c r="S144" s="530">
        <v>192570</v>
      </c>
      <c r="T144" s="530">
        <v>605220</v>
      </c>
      <c r="U144" s="530">
        <v>489327</v>
      </c>
      <c r="V144" s="530">
        <v>0</v>
      </c>
      <c r="W144" s="530">
        <v>-901977</v>
      </c>
    </row>
    <row r="145" spans="1:23" x14ac:dyDescent="0.3">
      <c r="A145" s="176">
        <f t="shared" si="3"/>
        <v>1</v>
      </c>
      <c r="B145" s="526" t="s">
        <v>789</v>
      </c>
      <c r="C145" s="526" t="s">
        <v>437</v>
      </c>
      <c r="D145" s="526" t="s">
        <v>438</v>
      </c>
      <c r="E145" s="526" t="s">
        <v>439</v>
      </c>
      <c r="H145" s="530">
        <v>500</v>
      </c>
      <c r="I145" s="525" t="s">
        <v>567</v>
      </c>
      <c r="J145" s="525" t="s">
        <v>790</v>
      </c>
      <c r="K145" s="530">
        <v>12241</v>
      </c>
      <c r="L145" s="530">
        <v>0</v>
      </c>
      <c r="M145" s="530">
        <v>0</v>
      </c>
      <c r="N145" s="530">
        <v>12241</v>
      </c>
      <c r="O145" s="530">
        <v>0</v>
      </c>
      <c r="P145" s="530">
        <v>0</v>
      </c>
      <c r="Q145" s="530">
        <v>0</v>
      </c>
      <c r="R145" s="530">
        <v>0</v>
      </c>
      <c r="S145" s="530">
        <v>12241</v>
      </c>
      <c r="T145" s="530">
        <v>0</v>
      </c>
      <c r="U145" s="530">
        <v>0</v>
      </c>
      <c r="V145" s="530">
        <v>0</v>
      </c>
      <c r="W145" s="530">
        <v>12241</v>
      </c>
    </row>
    <row r="146" spans="1:23" x14ac:dyDescent="0.3">
      <c r="A146" s="176">
        <f t="shared" si="3"/>
        <v>1</v>
      </c>
      <c r="B146" s="526" t="s">
        <v>791</v>
      </c>
      <c r="C146" s="526" t="s">
        <v>477</v>
      </c>
      <c r="D146" s="526" t="s">
        <v>438</v>
      </c>
      <c r="E146" s="526" t="s">
        <v>439</v>
      </c>
      <c r="H146" s="530">
        <v>475</v>
      </c>
      <c r="I146" s="525" t="s">
        <v>567</v>
      </c>
      <c r="J146" s="525" t="s">
        <v>575</v>
      </c>
      <c r="K146" s="530">
        <v>21320</v>
      </c>
      <c r="L146" s="530">
        <v>0</v>
      </c>
      <c r="M146" s="530">
        <v>0</v>
      </c>
      <c r="N146" s="530">
        <v>21320</v>
      </c>
      <c r="O146" s="530">
        <v>0</v>
      </c>
      <c r="P146" s="530">
        <v>0</v>
      </c>
      <c r="Q146" s="530">
        <v>0</v>
      </c>
      <c r="R146" s="530">
        <v>4260</v>
      </c>
      <c r="S146" s="530">
        <v>25580</v>
      </c>
      <c r="T146" s="530">
        <v>0</v>
      </c>
      <c r="U146" s="530">
        <v>0</v>
      </c>
      <c r="V146" s="530">
        <v>0</v>
      </c>
      <c r="W146" s="530">
        <v>25580</v>
      </c>
    </row>
    <row r="147" spans="1:23" x14ac:dyDescent="0.3">
      <c r="A147" s="176">
        <f t="shared" si="3"/>
        <v>1</v>
      </c>
      <c r="B147" s="526" t="s">
        <v>792</v>
      </c>
      <c r="C147" s="526" t="s">
        <v>462</v>
      </c>
      <c r="D147" s="526" t="s">
        <v>438</v>
      </c>
      <c r="E147" s="526" t="s">
        <v>439</v>
      </c>
      <c r="H147" s="530">
        <v>4794</v>
      </c>
      <c r="I147" s="525" t="s">
        <v>793</v>
      </c>
      <c r="J147" s="525" t="s">
        <v>794</v>
      </c>
      <c r="K147" s="530">
        <v>210986</v>
      </c>
      <c r="L147" s="530">
        <v>0</v>
      </c>
      <c r="M147" s="530">
        <v>0</v>
      </c>
      <c r="N147" s="530">
        <v>210986</v>
      </c>
      <c r="O147" s="530">
        <v>0</v>
      </c>
      <c r="P147" s="530">
        <v>0</v>
      </c>
      <c r="Q147" s="530">
        <v>0</v>
      </c>
      <c r="R147" s="530">
        <v>0</v>
      </c>
      <c r="S147" s="530">
        <v>210986</v>
      </c>
      <c r="T147" s="530">
        <v>0</v>
      </c>
      <c r="U147" s="530">
        <v>0</v>
      </c>
      <c r="V147" s="530">
        <v>0</v>
      </c>
      <c r="W147" s="530">
        <v>210986</v>
      </c>
    </row>
    <row r="148" spans="1:23" x14ac:dyDescent="0.3">
      <c r="A148" s="176">
        <f t="shared" si="3"/>
        <v>1</v>
      </c>
      <c r="B148" s="526" t="s">
        <v>795</v>
      </c>
      <c r="C148" s="526" t="s">
        <v>590</v>
      </c>
      <c r="D148" s="526" t="s">
        <v>438</v>
      </c>
      <c r="E148" s="526" t="s">
        <v>439</v>
      </c>
      <c r="H148" s="530">
        <v>2461</v>
      </c>
      <c r="I148" s="525" t="s">
        <v>533</v>
      </c>
      <c r="J148" s="525" t="s">
        <v>638</v>
      </c>
      <c r="K148" s="530">
        <v>148908</v>
      </c>
      <c r="L148" s="530">
        <v>66652</v>
      </c>
      <c r="M148" s="530">
        <v>37325</v>
      </c>
      <c r="N148" s="530">
        <v>44931</v>
      </c>
      <c r="O148" s="530">
        <v>0</v>
      </c>
      <c r="P148" s="530">
        <v>0</v>
      </c>
      <c r="Q148" s="530">
        <v>0</v>
      </c>
      <c r="R148" s="530">
        <v>1211</v>
      </c>
      <c r="S148" s="530">
        <v>46142</v>
      </c>
      <c r="T148" s="530">
        <v>132894</v>
      </c>
      <c r="U148" s="530">
        <v>68723</v>
      </c>
      <c r="V148" s="530">
        <v>0</v>
      </c>
      <c r="W148" s="530">
        <v>-155475</v>
      </c>
    </row>
    <row r="149" spans="1:23" x14ac:dyDescent="0.3">
      <c r="A149" s="176">
        <f t="shared" si="3"/>
        <v>1</v>
      </c>
      <c r="B149" s="526" t="s">
        <v>796</v>
      </c>
      <c r="C149" s="526" t="s">
        <v>540</v>
      </c>
      <c r="D149" s="526" t="s">
        <v>438</v>
      </c>
      <c r="E149" s="526" t="s">
        <v>439</v>
      </c>
      <c r="H149" s="530">
        <v>6277</v>
      </c>
      <c r="I149" s="525" t="s">
        <v>504</v>
      </c>
      <c r="J149" s="525" t="s">
        <v>664</v>
      </c>
      <c r="K149" s="530">
        <v>287881</v>
      </c>
      <c r="L149" s="530">
        <v>0</v>
      </c>
      <c r="M149" s="530">
        <v>0</v>
      </c>
      <c r="N149" s="530">
        <v>287881</v>
      </c>
      <c r="O149" s="530">
        <v>0</v>
      </c>
      <c r="P149" s="530">
        <v>0</v>
      </c>
      <c r="Q149" s="530">
        <v>0</v>
      </c>
      <c r="R149" s="530">
        <v>50022</v>
      </c>
      <c r="S149" s="530">
        <v>337903</v>
      </c>
      <c r="T149" s="530">
        <v>0</v>
      </c>
      <c r="U149" s="530">
        <v>0</v>
      </c>
      <c r="V149" s="530">
        <v>0</v>
      </c>
      <c r="W149" s="530">
        <v>337903</v>
      </c>
    </row>
    <row r="150" spans="1:23" x14ac:dyDescent="0.3">
      <c r="A150" s="176">
        <f t="shared" si="3"/>
        <v>1</v>
      </c>
      <c r="B150" s="526" t="s">
        <v>797</v>
      </c>
      <c r="C150" s="526" t="s">
        <v>492</v>
      </c>
      <c r="D150" s="526" t="s">
        <v>438</v>
      </c>
      <c r="E150" s="526" t="s">
        <v>439</v>
      </c>
      <c r="H150" s="530">
        <v>12159</v>
      </c>
      <c r="I150" s="525" t="s">
        <v>698</v>
      </c>
      <c r="J150" s="525" t="s">
        <v>633</v>
      </c>
      <c r="K150" s="530">
        <v>501297</v>
      </c>
      <c r="L150" s="530">
        <v>0</v>
      </c>
      <c r="M150" s="530">
        <v>0</v>
      </c>
      <c r="N150" s="530">
        <v>501297</v>
      </c>
      <c r="O150" s="530">
        <v>0</v>
      </c>
      <c r="P150" s="530">
        <v>0</v>
      </c>
      <c r="Q150" s="530">
        <v>0</v>
      </c>
      <c r="R150" s="530">
        <v>0</v>
      </c>
      <c r="S150" s="530">
        <v>501297</v>
      </c>
      <c r="T150" s="530">
        <v>0</v>
      </c>
      <c r="U150" s="530">
        <v>0</v>
      </c>
      <c r="V150" s="530">
        <v>0</v>
      </c>
      <c r="W150" s="530">
        <v>501297</v>
      </c>
    </row>
    <row r="151" spans="1:23" x14ac:dyDescent="0.3">
      <c r="A151" s="176">
        <f t="shared" si="3"/>
        <v>1</v>
      </c>
      <c r="B151" s="526" t="s">
        <v>798</v>
      </c>
      <c r="C151" s="526" t="s">
        <v>726</v>
      </c>
      <c r="D151" s="526" t="s">
        <v>438</v>
      </c>
      <c r="E151" s="526" t="s">
        <v>439</v>
      </c>
      <c r="H151" s="530">
        <v>475</v>
      </c>
      <c r="I151" s="525" t="s">
        <v>567</v>
      </c>
      <c r="J151" s="525" t="s">
        <v>799</v>
      </c>
      <c r="K151" s="530">
        <v>16959</v>
      </c>
      <c r="L151" s="530">
        <v>0</v>
      </c>
      <c r="M151" s="530">
        <v>0</v>
      </c>
      <c r="N151" s="530">
        <v>16959</v>
      </c>
      <c r="O151" s="530">
        <v>0</v>
      </c>
      <c r="P151" s="530">
        <v>0</v>
      </c>
      <c r="Q151" s="530">
        <v>0</v>
      </c>
      <c r="R151" s="530">
        <v>2360</v>
      </c>
      <c r="S151" s="530">
        <v>19319</v>
      </c>
      <c r="T151" s="530">
        <v>0</v>
      </c>
      <c r="U151" s="530">
        <v>0</v>
      </c>
      <c r="V151" s="530">
        <v>0</v>
      </c>
      <c r="W151" s="530">
        <v>19319</v>
      </c>
    </row>
    <row r="152" spans="1:23" x14ac:dyDescent="0.3">
      <c r="A152" s="176">
        <f t="shared" si="3"/>
        <v>1</v>
      </c>
      <c r="B152" s="526" t="s">
        <v>800</v>
      </c>
      <c r="C152" s="526" t="s">
        <v>437</v>
      </c>
      <c r="D152" s="526" t="s">
        <v>438</v>
      </c>
      <c r="E152" s="526" t="s">
        <v>439</v>
      </c>
      <c r="H152" s="530">
        <v>7890</v>
      </c>
      <c r="I152" s="525" t="s">
        <v>801</v>
      </c>
      <c r="J152" s="525" t="s">
        <v>802</v>
      </c>
      <c r="K152" s="530">
        <v>964237</v>
      </c>
      <c r="L152" s="530">
        <v>0</v>
      </c>
      <c r="M152" s="530">
        <v>0</v>
      </c>
      <c r="N152" s="530">
        <v>964237</v>
      </c>
      <c r="O152" s="530">
        <v>0</v>
      </c>
      <c r="P152" s="530">
        <v>0</v>
      </c>
      <c r="Q152" s="530">
        <v>0</v>
      </c>
      <c r="R152" s="530">
        <v>70766</v>
      </c>
      <c r="S152" s="530">
        <v>1035003</v>
      </c>
      <c r="T152" s="530">
        <v>0</v>
      </c>
      <c r="U152" s="530">
        <v>0</v>
      </c>
      <c r="V152" s="530">
        <v>0</v>
      </c>
      <c r="W152" s="530">
        <v>1035003</v>
      </c>
    </row>
    <row r="153" spans="1:23" x14ac:dyDescent="0.3">
      <c r="A153" s="176">
        <f t="shared" si="3"/>
        <v>1</v>
      </c>
      <c r="B153" s="526" t="s">
        <v>803</v>
      </c>
      <c r="C153" s="526" t="s">
        <v>804</v>
      </c>
      <c r="D153" s="526" t="s">
        <v>438</v>
      </c>
      <c r="E153" s="526" t="s">
        <v>439</v>
      </c>
      <c r="H153" s="530">
        <v>11503</v>
      </c>
      <c r="I153" s="525" t="s">
        <v>448</v>
      </c>
      <c r="J153" s="525" t="s">
        <v>805</v>
      </c>
      <c r="K153" s="530">
        <v>264569</v>
      </c>
      <c r="L153" s="530">
        <v>0</v>
      </c>
      <c r="M153" s="530">
        <v>44095</v>
      </c>
      <c r="N153" s="530">
        <v>220474</v>
      </c>
      <c r="O153" s="530">
        <v>0</v>
      </c>
      <c r="P153" s="530">
        <v>0</v>
      </c>
      <c r="Q153" s="530">
        <v>0</v>
      </c>
      <c r="R153" s="530">
        <v>0</v>
      </c>
      <c r="S153" s="530">
        <v>220474</v>
      </c>
      <c r="T153" s="530">
        <v>977755</v>
      </c>
      <c r="U153" s="530">
        <v>299322</v>
      </c>
      <c r="V153" s="530">
        <v>0</v>
      </c>
      <c r="W153" s="530">
        <v>-1056602</v>
      </c>
    </row>
    <row r="154" spans="1:23" x14ac:dyDescent="0.3">
      <c r="A154" s="176">
        <f t="shared" si="3"/>
        <v>1</v>
      </c>
      <c r="B154" s="526" t="s">
        <v>806</v>
      </c>
      <c r="C154" s="526" t="s">
        <v>613</v>
      </c>
      <c r="D154" s="526" t="s">
        <v>438</v>
      </c>
      <c r="E154" s="526" t="s">
        <v>439</v>
      </c>
      <c r="H154" s="530">
        <v>1456</v>
      </c>
      <c r="I154" s="525" t="s">
        <v>807</v>
      </c>
      <c r="J154" s="525" t="s">
        <v>656</v>
      </c>
      <c r="K154" s="530">
        <v>68000</v>
      </c>
      <c r="L154" s="530">
        <v>0</v>
      </c>
      <c r="M154" s="530">
        <v>0</v>
      </c>
      <c r="N154" s="530">
        <v>68000</v>
      </c>
      <c r="O154" s="530">
        <v>0</v>
      </c>
      <c r="P154" s="530">
        <v>0</v>
      </c>
      <c r="Q154" s="530">
        <v>0</v>
      </c>
      <c r="R154" s="530">
        <v>8691</v>
      </c>
      <c r="S154" s="530">
        <v>76691</v>
      </c>
      <c r="T154" s="530">
        <v>0</v>
      </c>
      <c r="U154" s="530">
        <v>0</v>
      </c>
      <c r="V154" s="530">
        <v>0</v>
      </c>
      <c r="W154" s="530">
        <v>76691</v>
      </c>
    </row>
    <row r="155" spans="1:23" x14ac:dyDescent="0.3">
      <c r="A155" s="176">
        <f t="shared" si="3"/>
        <v>1</v>
      </c>
      <c r="B155" s="526" t="s">
        <v>808</v>
      </c>
      <c r="C155" s="526" t="s">
        <v>613</v>
      </c>
      <c r="D155" s="526" t="s">
        <v>438</v>
      </c>
      <c r="E155" s="526" t="s">
        <v>439</v>
      </c>
      <c r="H155" s="530">
        <v>949</v>
      </c>
      <c r="I155" s="525" t="s">
        <v>809</v>
      </c>
      <c r="J155" s="525" t="s">
        <v>810</v>
      </c>
      <c r="K155" s="530">
        <v>45814</v>
      </c>
      <c r="L155" s="530">
        <v>0</v>
      </c>
      <c r="M155" s="530">
        <v>0</v>
      </c>
      <c r="N155" s="530">
        <v>45814</v>
      </c>
      <c r="O155" s="530">
        <v>0</v>
      </c>
      <c r="P155" s="530">
        <v>0</v>
      </c>
      <c r="Q155" s="530">
        <v>0</v>
      </c>
      <c r="R155" s="530">
        <v>0</v>
      </c>
      <c r="S155" s="530">
        <v>45814</v>
      </c>
      <c r="T155" s="530">
        <v>0</v>
      </c>
      <c r="U155" s="530">
        <v>0</v>
      </c>
      <c r="V155" s="530">
        <v>0</v>
      </c>
      <c r="W155" s="530">
        <v>45814</v>
      </c>
    </row>
    <row r="156" spans="1:23" x14ac:dyDescent="0.3">
      <c r="A156" s="176">
        <f t="shared" si="3"/>
        <v>1</v>
      </c>
      <c r="B156" s="526" t="s">
        <v>811</v>
      </c>
      <c r="C156" s="526" t="s">
        <v>466</v>
      </c>
      <c r="D156" s="526" t="s">
        <v>438</v>
      </c>
      <c r="E156" s="526" t="s">
        <v>439</v>
      </c>
      <c r="H156" s="530">
        <v>2057</v>
      </c>
      <c r="I156" s="525" t="s">
        <v>812</v>
      </c>
      <c r="J156" s="525" t="s">
        <v>813</v>
      </c>
      <c r="K156" s="530">
        <v>99573</v>
      </c>
      <c r="L156" s="530">
        <v>0</v>
      </c>
      <c r="M156" s="530">
        <v>0</v>
      </c>
      <c r="N156" s="530">
        <v>99573</v>
      </c>
      <c r="O156" s="530">
        <v>0</v>
      </c>
      <c r="P156" s="530">
        <v>0</v>
      </c>
      <c r="Q156" s="530">
        <v>0</v>
      </c>
      <c r="R156" s="530">
        <v>16392</v>
      </c>
      <c r="S156" s="530">
        <v>115965</v>
      </c>
      <c r="T156" s="530">
        <v>0</v>
      </c>
      <c r="U156" s="530">
        <v>0</v>
      </c>
      <c r="V156" s="530">
        <v>0</v>
      </c>
      <c r="W156" s="530">
        <v>115965</v>
      </c>
    </row>
    <row r="157" spans="1:23" x14ac:dyDescent="0.3">
      <c r="A157" s="176">
        <f t="shared" si="3"/>
        <v>1</v>
      </c>
      <c r="B157" s="526" t="s">
        <v>814</v>
      </c>
      <c r="C157" s="526" t="s">
        <v>815</v>
      </c>
      <c r="D157" s="526" t="s">
        <v>438</v>
      </c>
      <c r="E157" s="526" t="s">
        <v>439</v>
      </c>
      <c r="H157" s="530">
        <v>4082</v>
      </c>
      <c r="I157" s="525" t="s">
        <v>816</v>
      </c>
      <c r="J157" s="525" t="s">
        <v>817</v>
      </c>
      <c r="K157" s="530">
        <v>172467</v>
      </c>
      <c r="L157" s="530">
        <v>0</v>
      </c>
      <c r="M157" s="530">
        <v>0</v>
      </c>
      <c r="N157" s="530">
        <v>172467</v>
      </c>
      <c r="O157" s="530">
        <v>0</v>
      </c>
      <c r="P157" s="530">
        <v>0</v>
      </c>
      <c r="Q157" s="530">
        <v>0</v>
      </c>
      <c r="R157" s="530">
        <v>20284</v>
      </c>
      <c r="S157" s="530">
        <v>192751</v>
      </c>
      <c r="T157" s="530">
        <v>0</v>
      </c>
      <c r="U157" s="530">
        <v>0</v>
      </c>
      <c r="V157" s="530">
        <v>0</v>
      </c>
      <c r="W157" s="530">
        <v>192751</v>
      </c>
    </row>
    <row r="158" spans="1:23" x14ac:dyDescent="0.3">
      <c r="A158" s="176">
        <f t="shared" si="3"/>
        <v>1</v>
      </c>
      <c r="B158" s="526" t="s">
        <v>818</v>
      </c>
      <c r="C158" s="526" t="s">
        <v>437</v>
      </c>
      <c r="D158" s="526" t="s">
        <v>438</v>
      </c>
      <c r="E158" s="526" t="s">
        <v>439</v>
      </c>
      <c r="H158" s="530">
        <v>500</v>
      </c>
      <c r="I158" s="525" t="s">
        <v>819</v>
      </c>
      <c r="J158" s="525" t="s">
        <v>608</v>
      </c>
      <c r="K158" s="530">
        <v>28475</v>
      </c>
      <c r="L158" s="530">
        <v>0</v>
      </c>
      <c r="M158" s="530">
        <v>0</v>
      </c>
      <c r="N158" s="530">
        <v>28475</v>
      </c>
      <c r="O158" s="530">
        <v>0</v>
      </c>
      <c r="P158" s="530">
        <v>0</v>
      </c>
      <c r="Q158" s="530">
        <v>0</v>
      </c>
      <c r="R158" s="530">
        <v>1985</v>
      </c>
      <c r="S158" s="530">
        <v>30459</v>
      </c>
      <c r="T158" s="530">
        <v>0</v>
      </c>
      <c r="U158" s="530">
        <v>0</v>
      </c>
      <c r="V158" s="530">
        <v>0</v>
      </c>
      <c r="W158" s="530">
        <v>30459</v>
      </c>
    </row>
    <row r="159" spans="1:23" x14ac:dyDescent="0.3">
      <c r="A159" s="176">
        <f t="shared" si="3"/>
        <v>1</v>
      </c>
      <c r="B159" s="526" t="s">
        <v>820</v>
      </c>
      <c r="C159" s="526" t="s">
        <v>636</v>
      </c>
      <c r="D159" s="526" t="s">
        <v>438</v>
      </c>
      <c r="E159" s="526" t="s">
        <v>439</v>
      </c>
      <c r="H159" s="530">
        <v>2737</v>
      </c>
      <c r="I159" s="525" t="s">
        <v>706</v>
      </c>
      <c r="J159" s="525" t="s">
        <v>821</v>
      </c>
      <c r="K159" s="530">
        <v>117184</v>
      </c>
      <c r="L159" s="530">
        <v>0</v>
      </c>
      <c r="M159" s="530">
        <v>0</v>
      </c>
      <c r="N159" s="530">
        <v>117184</v>
      </c>
      <c r="O159" s="530">
        <v>0</v>
      </c>
      <c r="P159" s="530">
        <v>0</v>
      </c>
      <c r="Q159" s="530">
        <v>0</v>
      </c>
      <c r="R159" s="530">
        <v>0</v>
      </c>
      <c r="S159" s="530">
        <v>117184</v>
      </c>
      <c r="T159" s="530">
        <v>0</v>
      </c>
      <c r="U159" s="530">
        <v>0</v>
      </c>
      <c r="V159" s="530">
        <v>0</v>
      </c>
      <c r="W159" s="530">
        <v>117184</v>
      </c>
    </row>
    <row r="160" spans="1:23" x14ac:dyDescent="0.3">
      <c r="A160" s="176">
        <f t="shared" si="3"/>
        <v>1</v>
      </c>
      <c r="B160" s="526" t="s">
        <v>822</v>
      </c>
      <c r="C160" s="526" t="s">
        <v>451</v>
      </c>
      <c r="D160" s="526" t="s">
        <v>438</v>
      </c>
      <c r="E160" s="526" t="s">
        <v>439</v>
      </c>
      <c r="H160" s="530">
        <v>7280</v>
      </c>
      <c r="I160" s="525" t="s">
        <v>772</v>
      </c>
      <c r="J160" s="525" t="s">
        <v>823</v>
      </c>
      <c r="K160" s="530">
        <v>314228</v>
      </c>
      <c r="L160" s="530">
        <v>0</v>
      </c>
      <c r="M160" s="530">
        <v>0</v>
      </c>
      <c r="N160" s="530">
        <v>314228</v>
      </c>
      <c r="O160" s="530">
        <v>0</v>
      </c>
      <c r="P160" s="530">
        <v>0</v>
      </c>
      <c r="Q160" s="530">
        <v>0</v>
      </c>
      <c r="R160" s="530">
        <v>58015</v>
      </c>
      <c r="S160" s="530">
        <v>372243</v>
      </c>
      <c r="T160" s="530">
        <v>0</v>
      </c>
      <c r="U160" s="530">
        <v>0</v>
      </c>
      <c r="V160" s="530">
        <v>0</v>
      </c>
      <c r="W160" s="530">
        <v>372243</v>
      </c>
    </row>
    <row r="161" spans="1:23" x14ac:dyDescent="0.3">
      <c r="A161" s="176">
        <f t="shared" si="3"/>
        <v>1</v>
      </c>
      <c r="B161" s="526" t="s">
        <v>824</v>
      </c>
      <c r="C161" s="526" t="s">
        <v>640</v>
      </c>
      <c r="D161" s="526" t="s">
        <v>438</v>
      </c>
      <c r="E161" s="526" t="s">
        <v>439</v>
      </c>
      <c r="H161" s="530">
        <v>475</v>
      </c>
      <c r="I161" s="525" t="s">
        <v>537</v>
      </c>
      <c r="J161" s="525" t="s">
        <v>523</v>
      </c>
      <c r="K161" s="530">
        <v>8729</v>
      </c>
      <c r="L161" s="530">
        <v>0</v>
      </c>
      <c r="M161" s="530">
        <v>0</v>
      </c>
      <c r="N161" s="530">
        <v>8729</v>
      </c>
      <c r="O161" s="530">
        <v>0</v>
      </c>
      <c r="P161" s="530">
        <v>0</v>
      </c>
      <c r="Q161" s="530">
        <v>0</v>
      </c>
      <c r="R161" s="530">
        <v>4260</v>
      </c>
      <c r="S161" s="530">
        <v>12989</v>
      </c>
      <c r="T161" s="530">
        <v>0</v>
      </c>
      <c r="U161" s="530">
        <v>0</v>
      </c>
      <c r="V161" s="530">
        <v>0</v>
      </c>
      <c r="W161" s="530">
        <v>12989</v>
      </c>
    </row>
    <row r="162" spans="1:23" x14ac:dyDescent="0.3">
      <c r="A162" s="176">
        <f t="shared" si="3"/>
        <v>1</v>
      </c>
      <c r="B162" s="526" t="s">
        <v>825</v>
      </c>
      <c r="C162" s="526" t="s">
        <v>652</v>
      </c>
      <c r="D162" s="526" t="s">
        <v>438</v>
      </c>
      <c r="E162" s="526" t="s">
        <v>439</v>
      </c>
      <c r="H162" s="530">
        <v>475</v>
      </c>
      <c r="I162" s="525" t="s">
        <v>567</v>
      </c>
      <c r="J162" s="525" t="s">
        <v>826</v>
      </c>
      <c r="K162" s="530">
        <v>15021</v>
      </c>
      <c r="L162" s="530">
        <v>0</v>
      </c>
      <c r="M162" s="530">
        <v>0</v>
      </c>
      <c r="N162" s="530">
        <v>15021</v>
      </c>
      <c r="O162" s="530">
        <v>0</v>
      </c>
      <c r="P162" s="530">
        <v>0</v>
      </c>
      <c r="Q162" s="530">
        <v>0</v>
      </c>
      <c r="R162" s="530">
        <v>0</v>
      </c>
      <c r="S162" s="530">
        <v>15021</v>
      </c>
      <c r="T162" s="530">
        <v>0</v>
      </c>
      <c r="U162" s="530">
        <v>0</v>
      </c>
      <c r="V162" s="530">
        <v>0</v>
      </c>
      <c r="W162" s="530">
        <v>15021</v>
      </c>
    </row>
    <row r="163" spans="1:23" x14ac:dyDescent="0.3">
      <c r="A163" s="176">
        <f t="shared" si="3"/>
        <v>1</v>
      </c>
      <c r="B163" s="526" t="s">
        <v>827</v>
      </c>
      <c r="C163" s="526" t="s">
        <v>466</v>
      </c>
      <c r="D163" s="526" t="s">
        <v>438</v>
      </c>
      <c r="E163" s="526" t="s">
        <v>439</v>
      </c>
      <c r="H163" s="530">
        <v>1899</v>
      </c>
      <c r="I163" s="525" t="s">
        <v>828</v>
      </c>
      <c r="J163" s="525" t="s">
        <v>829</v>
      </c>
      <c r="K163" s="530">
        <v>101484</v>
      </c>
      <c r="L163" s="530">
        <v>30859</v>
      </c>
      <c r="M163" s="530">
        <v>0</v>
      </c>
      <c r="N163" s="530">
        <v>70625</v>
      </c>
      <c r="O163" s="530">
        <v>0</v>
      </c>
      <c r="P163" s="530">
        <v>0</v>
      </c>
      <c r="Q163" s="530">
        <v>0</v>
      </c>
      <c r="R163" s="530">
        <v>0</v>
      </c>
      <c r="S163" s="530">
        <v>70625</v>
      </c>
      <c r="T163" s="530">
        <v>0</v>
      </c>
      <c r="U163" s="530">
        <v>0</v>
      </c>
      <c r="V163" s="530">
        <v>0</v>
      </c>
      <c r="W163" s="530">
        <v>70625</v>
      </c>
    </row>
    <row r="164" spans="1:23" x14ac:dyDescent="0.3">
      <c r="A164" s="176">
        <f t="shared" si="3"/>
        <v>1</v>
      </c>
      <c r="B164" s="526" t="s">
        <v>830</v>
      </c>
      <c r="C164" s="526" t="s">
        <v>652</v>
      </c>
      <c r="D164" s="526" t="s">
        <v>438</v>
      </c>
      <c r="E164" s="526" t="s">
        <v>439</v>
      </c>
      <c r="H164" s="530">
        <v>475</v>
      </c>
      <c r="I164" s="525" t="s">
        <v>456</v>
      </c>
      <c r="J164" s="525" t="s">
        <v>831</v>
      </c>
      <c r="K164" s="530">
        <v>15544</v>
      </c>
      <c r="L164" s="530">
        <v>0</v>
      </c>
      <c r="M164" s="530">
        <v>0</v>
      </c>
      <c r="N164" s="530">
        <v>15544</v>
      </c>
      <c r="O164" s="530">
        <v>0</v>
      </c>
      <c r="P164" s="530">
        <v>0</v>
      </c>
      <c r="Q164" s="530">
        <v>0</v>
      </c>
      <c r="R164" s="530">
        <v>935</v>
      </c>
      <c r="S164" s="530">
        <v>16480</v>
      </c>
      <c r="T164" s="530">
        <v>0</v>
      </c>
      <c r="U164" s="530">
        <v>0</v>
      </c>
      <c r="V164" s="530">
        <v>0</v>
      </c>
      <c r="W164" s="530">
        <v>16480</v>
      </c>
    </row>
    <row r="165" spans="1:23" x14ac:dyDescent="0.3">
      <c r="A165" s="176">
        <f t="shared" si="3"/>
        <v>1</v>
      </c>
      <c r="B165" s="526" t="s">
        <v>832</v>
      </c>
      <c r="C165" s="526" t="s">
        <v>833</v>
      </c>
      <c r="D165" s="526" t="s">
        <v>438</v>
      </c>
      <c r="E165" s="526" t="s">
        <v>439</v>
      </c>
      <c r="H165" s="530">
        <v>4747</v>
      </c>
      <c r="I165" s="525" t="s">
        <v>834</v>
      </c>
      <c r="J165" s="525" t="s">
        <v>761</v>
      </c>
      <c r="K165" s="530">
        <v>255413</v>
      </c>
      <c r="L165" s="530">
        <v>0</v>
      </c>
      <c r="M165" s="530">
        <v>0</v>
      </c>
      <c r="N165" s="530">
        <v>255413</v>
      </c>
      <c r="O165" s="530">
        <v>0</v>
      </c>
      <c r="P165" s="530">
        <v>0</v>
      </c>
      <c r="Q165" s="530">
        <v>0</v>
      </c>
      <c r="R165" s="530">
        <v>23588</v>
      </c>
      <c r="S165" s="530">
        <v>279001</v>
      </c>
      <c r="T165" s="530">
        <v>0</v>
      </c>
      <c r="U165" s="530">
        <v>0</v>
      </c>
      <c r="V165" s="530">
        <v>0</v>
      </c>
      <c r="W165" s="530">
        <v>279001</v>
      </c>
    </row>
    <row r="166" spans="1:23" x14ac:dyDescent="0.3">
      <c r="A166" s="176">
        <f t="shared" si="3"/>
        <v>1</v>
      </c>
      <c r="B166" s="526" t="s">
        <v>835</v>
      </c>
      <c r="C166" s="526" t="s">
        <v>836</v>
      </c>
      <c r="D166" s="526" t="s">
        <v>438</v>
      </c>
      <c r="E166" s="526" t="s">
        <v>439</v>
      </c>
      <c r="H166" s="530">
        <v>104386</v>
      </c>
      <c r="I166" s="525" t="s">
        <v>837</v>
      </c>
      <c r="J166" s="525" t="s">
        <v>565</v>
      </c>
      <c r="K166" s="530">
        <v>6715677</v>
      </c>
      <c r="L166" s="530">
        <v>0</v>
      </c>
      <c r="M166" s="530">
        <v>0</v>
      </c>
      <c r="N166" s="530">
        <v>6715677</v>
      </c>
      <c r="O166" s="530">
        <v>0</v>
      </c>
      <c r="P166" s="530">
        <v>0</v>
      </c>
      <c r="Q166" s="530">
        <v>0</v>
      </c>
      <c r="R166" s="530">
        <v>831859</v>
      </c>
      <c r="S166" s="530">
        <v>7547536</v>
      </c>
      <c r="T166" s="530">
        <v>0</v>
      </c>
      <c r="U166" s="530">
        <v>0</v>
      </c>
      <c r="V166" s="530">
        <v>0</v>
      </c>
      <c r="W166" s="530">
        <v>7547536</v>
      </c>
    </row>
    <row r="167" spans="1:23" x14ac:dyDescent="0.3">
      <c r="A167" s="176">
        <f t="shared" si="3"/>
        <v>1</v>
      </c>
      <c r="B167" s="526" t="s">
        <v>838</v>
      </c>
      <c r="C167" s="526" t="s">
        <v>839</v>
      </c>
      <c r="D167" s="526" t="s">
        <v>438</v>
      </c>
      <c r="E167" s="526" t="s">
        <v>439</v>
      </c>
      <c r="H167" s="530">
        <v>11209</v>
      </c>
      <c r="I167" s="525" t="s">
        <v>448</v>
      </c>
      <c r="J167" s="525" t="s">
        <v>840</v>
      </c>
      <c r="K167" s="530">
        <v>246598</v>
      </c>
      <c r="L167" s="530">
        <v>0</v>
      </c>
      <c r="M167" s="530">
        <v>41100</v>
      </c>
      <c r="N167" s="530">
        <v>205498</v>
      </c>
      <c r="O167" s="530">
        <v>0</v>
      </c>
      <c r="P167" s="530">
        <v>0</v>
      </c>
      <c r="Q167" s="530">
        <v>0</v>
      </c>
      <c r="R167" s="530">
        <v>0</v>
      </c>
      <c r="S167" s="530">
        <v>205498</v>
      </c>
      <c r="T167" s="530">
        <v>952765</v>
      </c>
      <c r="U167" s="530">
        <v>314387</v>
      </c>
      <c r="V167" s="530">
        <v>0</v>
      </c>
      <c r="W167" s="530">
        <v>-1061654</v>
      </c>
    </row>
    <row r="168" spans="1:23" x14ac:dyDescent="0.3">
      <c r="A168" s="176">
        <f t="shared" si="3"/>
        <v>1</v>
      </c>
      <c r="B168" s="526" t="s">
        <v>841</v>
      </c>
      <c r="C168" s="526" t="s">
        <v>842</v>
      </c>
      <c r="D168" s="526" t="s">
        <v>438</v>
      </c>
      <c r="E168" s="526" t="s">
        <v>439</v>
      </c>
      <c r="H168" s="530">
        <v>25057</v>
      </c>
      <c r="I168" s="525" t="s">
        <v>843</v>
      </c>
      <c r="J168" s="525" t="s">
        <v>638</v>
      </c>
      <c r="K168" s="530">
        <v>1679703</v>
      </c>
      <c r="L168" s="530">
        <v>678627</v>
      </c>
      <c r="M168" s="530">
        <v>380031</v>
      </c>
      <c r="N168" s="530">
        <v>621044</v>
      </c>
      <c r="O168" s="530">
        <v>0</v>
      </c>
      <c r="P168" s="530">
        <v>0</v>
      </c>
      <c r="Q168" s="530">
        <v>0</v>
      </c>
      <c r="R168" s="530">
        <v>0</v>
      </c>
      <c r="S168" s="530">
        <v>621044</v>
      </c>
      <c r="T168" s="530">
        <v>1353078</v>
      </c>
      <c r="U168" s="530">
        <v>699713</v>
      </c>
      <c r="V168" s="530">
        <v>0</v>
      </c>
      <c r="W168" s="530">
        <v>-1431746</v>
      </c>
    </row>
    <row r="169" spans="1:23" x14ac:dyDescent="0.3">
      <c r="A169" s="176">
        <f t="shared" si="3"/>
        <v>1</v>
      </c>
      <c r="B169" s="526" t="s">
        <v>844</v>
      </c>
      <c r="C169" s="526" t="s">
        <v>845</v>
      </c>
      <c r="D169" s="526" t="s">
        <v>438</v>
      </c>
      <c r="E169" s="526" t="s">
        <v>439</v>
      </c>
      <c r="H169" s="530">
        <v>1424</v>
      </c>
      <c r="I169" s="525" t="s">
        <v>846</v>
      </c>
      <c r="J169" s="525" t="s">
        <v>847</v>
      </c>
      <c r="K169" s="530">
        <v>68413</v>
      </c>
      <c r="L169" s="530">
        <v>0</v>
      </c>
      <c r="M169" s="530">
        <v>0</v>
      </c>
      <c r="N169" s="530">
        <v>68413</v>
      </c>
      <c r="O169" s="530">
        <v>0</v>
      </c>
      <c r="P169" s="530">
        <v>0</v>
      </c>
      <c r="Q169" s="530">
        <v>0</v>
      </c>
      <c r="R169" s="530">
        <v>0</v>
      </c>
      <c r="S169" s="530">
        <v>68413</v>
      </c>
      <c r="T169" s="530">
        <v>0</v>
      </c>
      <c r="U169" s="530">
        <v>0</v>
      </c>
      <c r="V169" s="530">
        <v>0</v>
      </c>
      <c r="W169" s="530">
        <v>68413</v>
      </c>
    </row>
    <row r="170" spans="1:23" x14ac:dyDescent="0.3">
      <c r="A170" s="176">
        <f t="shared" si="3"/>
        <v>1</v>
      </c>
      <c r="B170" s="526" t="s">
        <v>848</v>
      </c>
      <c r="C170" s="526" t="s">
        <v>437</v>
      </c>
      <c r="D170" s="526" t="s">
        <v>438</v>
      </c>
      <c r="E170" s="526" t="s">
        <v>439</v>
      </c>
      <c r="H170" s="530">
        <v>500</v>
      </c>
      <c r="I170" s="525" t="s">
        <v>456</v>
      </c>
      <c r="J170" s="525" t="s">
        <v>849</v>
      </c>
      <c r="K170" s="530">
        <v>28123</v>
      </c>
      <c r="L170" s="530">
        <v>0</v>
      </c>
      <c r="M170" s="530">
        <v>0</v>
      </c>
      <c r="N170" s="530">
        <v>28123</v>
      </c>
      <c r="O170" s="530">
        <v>0</v>
      </c>
      <c r="P170" s="530">
        <v>0</v>
      </c>
      <c r="Q170" s="530">
        <v>0</v>
      </c>
      <c r="R170" s="530">
        <v>1485</v>
      </c>
      <c r="S170" s="530">
        <v>29607</v>
      </c>
      <c r="T170" s="530">
        <v>0</v>
      </c>
      <c r="U170" s="530">
        <v>0</v>
      </c>
      <c r="V170" s="530">
        <v>0</v>
      </c>
      <c r="W170" s="530">
        <v>29607</v>
      </c>
    </row>
    <row r="171" spans="1:23" x14ac:dyDescent="0.3">
      <c r="A171" s="176">
        <f t="shared" si="3"/>
        <v>1</v>
      </c>
      <c r="B171" s="526" t="s">
        <v>850</v>
      </c>
      <c r="C171" s="526" t="s">
        <v>851</v>
      </c>
      <c r="D171" s="526" t="s">
        <v>438</v>
      </c>
      <c r="E171" s="526" t="s">
        <v>439</v>
      </c>
      <c r="H171" s="530">
        <v>10895</v>
      </c>
      <c r="I171" s="525" t="s">
        <v>448</v>
      </c>
      <c r="J171" s="525" t="s">
        <v>490</v>
      </c>
      <c r="K171" s="530">
        <v>239690</v>
      </c>
      <c r="L171" s="530">
        <v>0</v>
      </c>
      <c r="M171" s="530">
        <v>39948</v>
      </c>
      <c r="N171" s="530">
        <v>199742</v>
      </c>
      <c r="O171" s="530">
        <v>0</v>
      </c>
      <c r="P171" s="530">
        <v>0</v>
      </c>
      <c r="Q171" s="530">
        <v>0</v>
      </c>
      <c r="R171" s="530">
        <v>0</v>
      </c>
      <c r="S171" s="530">
        <v>199742</v>
      </c>
      <c r="T171" s="530">
        <v>871600</v>
      </c>
      <c r="U171" s="530">
        <v>109053</v>
      </c>
      <c r="V171" s="530">
        <v>0</v>
      </c>
      <c r="W171" s="530">
        <v>-780912</v>
      </c>
    </row>
    <row r="172" spans="1:23" ht="20.399999999999999" x14ac:dyDescent="0.3">
      <c r="A172" s="176">
        <f t="shared" si="3"/>
        <v>1</v>
      </c>
      <c r="B172" s="526" t="s">
        <v>852</v>
      </c>
      <c r="C172" s="526" t="s">
        <v>853</v>
      </c>
      <c r="D172" s="526" t="s">
        <v>438</v>
      </c>
      <c r="E172" s="526" t="s">
        <v>439</v>
      </c>
      <c r="H172" s="530">
        <v>24500</v>
      </c>
      <c r="I172" s="525" t="s">
        <v>724</v>
      </c>
      <c r="J172" s="525" t="s">
        <v>854</v>
      </c>
      <c r="K172" s="530">
        <v>3975014</v>
      </c>
      <c r="L172" s="530">
        <v>0</v>
      </c>
      <c r="M172" s="530">
        <v>0</v>
      </c>
      <c r="N172" s="530">
        <v>3975014</v>
      </c>
      <c r="O172" s="530">
        <v>0</v>
      </c>
      <c r="P172" s="530">
        <v>0</v>
      </c>
      <c r="Q172" s="530">
        <v>0</v>
      </c>
      <c r="R172" s="530">
        <v>72742</v>
      </c>
      <c r="S172" s="530">
        <v>4047756</v>
      </c>
      <c r="T172" s="530">
        <v>0</v>
      </c>
      <c r="U172" s="530">
        <v>0</v>
      </c>
      <c r="V172" s="530">
        <v>0</v>
      </c>
      <c r="W172" s="530">
        <v>4047756</v>
      </c>
    </row>
    <row r="173" spans="1:23" x14ac:dyDescent="0.3">
      <c r="A173" s="176">
        <f t="shared" si="3"/>
        <v>1</v>
      </c>
      <c r="B173" s="526" t="s">
        <v>855</v>
      </c>
      <c r="C173" s="526" t="s">
        <v>437</v>
      </c>
      <c r="D173" s="526" t="s">
        <v>438</v>
      </c>
      <c r="E173" s="526" t="s">
        <v>439</v>
      </c>
      <c r="H173" s="530">
        <v>4000</v>
      </c>
      <c r="I173" s="525" t="s">
        <v>463</v>
      </c>
      <c r="J173" s="525" t="s">
        <v>728</v>
      </c>
      <c r="K173" s="530">
        <v>231390</v>
      </c>
      <c r="L173" s="530">
        <v>0</v>
      </c>
      <c r="M173" s="530">
        <v>0</v>
      </c>
      <c r="N173" s="530">
        <v>231390</v>
      </c>
      <c r="O173" s="530">
        <v>0</v>
      </c>
      <c r="P173" s="530">
        <v>0</v>
      </c>
      <c r="Q173" s="530">
        <v>0</v>
      </c>
      <c r="R173" s="530">
        <v>0</v>
      </c>
      <c r="S173" s="530">
        <v>231390</v>
      </c>
      <c r="T173" s="530">
        <v>0</v>
      </c>
      <c r="U173" s="530">
        <v>0</v>
      </c>
      <c r="V173" s="530">
        <v>0</v>
      </c>
      <c r="W173" s="530">
        <v>231390</v>
      </c>
    </row>
    <row r="174" spans="1:23" x14ac:dyDescent="0.3">
      <c r="A174" s="176">
        <f t="shared" si="3"/>
        <v>1</v>
      </c>
      <c r="B174" s="526" t="s">
        <v>856</v>
      </c>
      <c r="C174" s="526" t="s">
        <v>532</v>
      </c>
      <c r="D174" s="526" t="s">
        <v>438</v>
      </c>
      <c r="E174" s="526" t="s">
        <v>439</v>
      </c>
      <c r="H174" s="530">
        <v>9057</v>
      </c>
      <c r="I174" s="525" t="s">
        <v>448</v>
      </c>
      <c r="J174" s="525" t="s">
        <v>857</v>
      </c>
      <c r="K174" s="530">
        <v>253596</v>
      </c>
      <c r="L174" s="530">
        <v>0</v>
      </c>
      <c r="M174" s="530">
        <v>21133</v>
      </c>
      <c r="N174" s="530">
        <v>232463</v>
      </c>
      <c r="O174" s="530">
        <v>0</v>
      </c>
      <c r="P174" s="530">
        <v>0</v>
      </c>
      <c r="Q174" s="530">
        <v>0</v>
      </c>
      <c r="R174" s="530">
        <v>0</v>
      </c>
      <c r="S174" s="530">
        <v>232463</v>
      </c>
      <c r="T174" s="530">
        <v>679275</v>
      </c>
      <c r="U174" s="530">
        <v>252491</v>
      </c>
      <c r="V174" s="530">
        <v>0</v>
      </c>
      <c r="W174" s="530">
        <v>-699303</v>
      </c>
    </row>
    <row r="175" spans="1:23" x14ac:dyDescent="0.3">
      <c r="A175" s="176">
        <f t="shared" si="3"/>
        <v>1</v>
      </c>
      <c r="B175" s="526" t="s">
        <v>858</v>
      </c>
      <c r="C175" s="526" t="s">
        <v>477</v>
      </c>
      <c r="D175" s="526" t="s">
        <v>438</v>
      </c>
      <c r="E175" s="526" t="s">
        <v>439</v>
      </c>
      <c r="H175" s="530">
        <v>3531</v>
      </c>
      <c r="I175" s="525" t="s">
        <v>529</v>
      </c>
      <c r="J175" s="525" t="s">
        <v>549</v>
      </c>
      <c r="K175" s="530">
        <v>160775</v>
      </c>
      <c r="L175" s="530">
        <v>0</v>
      </c>
      <c r="M175" s="530">
        <v>0</v>
      </c>
      <c r="N175" s="530">
        <v>160775</v>
      </c>
      <c r="O175" s="530">
        <v>0</v>
      </c>
      <c r="P175" s="530">
        <v>0</v>
      </c>
      <c r="Q175" s="530">
        <v>0</v>
      </c>
      <c r="R175" s="530">
        <v>10484</v>
      </c>
      <c r="S175" s="530">
        <v>171259</v>
      </c>
      <c r="T175" s="530">
        <v>0</v>
      </c>
      <c r="U175" s="530">
        <v>0</v>
      </c>
      <c r="V175" s="530">
        <v>0</v>
      </c>
      <c r="W175" s="530">
        <v>171259</v>
      </c>
    </row>
    <row r="176" spans="1:23" x14ac:dyDescent="0.3">
      <c r="A176" s="176">
        <f t="shared" si="3"/>
        <v>1</v>
      </c>
      <c r="B176" s="526" t="s">
        <v>859</v>
      </c>
      <c r="C176" s="526" t="s">
        <v>437</v>
      </c>
      <c r="D176" s="526" t="s">
        <v>438</v>
      </c>
      <c r="E176" s="526" t="s">
        <v>439</v>
      </c>
      <c r="H176" s="530">
        <v>1344</v>
      </c>
      <c r="I176" s="525" t="s">
        <v>730</v>
      </c>
      <c r="J176" s="525" t="s">
        <v>860</v>
      </c>
      <c r="K176" s="530">
        <v>73132</v>
      </c>
      <c r="L176" s="530">
        <v>0</v>
      </c>
      <c r="M176" s="530">
        <v>0</v>
      </c>
      <c r="N176" s="530">
        <v>73132</v>
      </c>
      <c r="O176" s="530">
        <v>0</v>
      </c>
      <c r="P176" s="530">
        <v>0</v>
      </c>
      <c r="Q176" s="530">
        <v>0</v>
      </c>
      <c r="R176" s="530">
        <v>0</v>
      </c>
      <c r="S176" s="530">
        <v>73132</v>
      </c>
      <c r="T176" s="530">
        <v>0</v>
      </c>
      <c r="U176" s="530">
        <v>0</v>
      </c>
      <c r="V176" s="530">
        <v>0</v>
      </c>
      <c r="W176" s="530">
        <v>73132</v>
      </c>
    </row>
    <row r="177" spans="1:23" x14ac:dyDescent="0.3">
      <c r="A177" s="176">
        <f t="shared" si="3"/>
        <v>1</v>
      </c>
      <c r="B177" s="526" t="s">
        <v>861</v>
      </c>
      <c r="C177" s="526" t="s">
        <v>746</v>
      </c>
      <c r="D177" s="526" t="s">
        <v>438</v>
      </c>
      <c r="E177" s="526" t="s">
        <v>439</v>
      </c>
      <c r="H177" s="530">
        <v>7505</v>
      </c>
      <c r="I177" s="525" t="s">
        <v>862</v>
      </c>
      <c r="J177" s="525" t="s">
        <v>592</v>
      </c>
      <c r="K177" s="530">
        <v>308276</v>
      </c>
      <c r="L177" s="530">
        <v>0</v>
      </c>
      <c r="M177" s="530">
        <v>0</v>
      </c>
      <c r="N177" s="530">
        <v>308276</v>
      </c>
      <c r="O177" s="530">
        <v>0</v>
      </c>
      <c r="P177" s="530">
        <v>0</v>
      </c>
      <c r="Q177" s="530">
        <v>0</v>
      </c>
      <c r="R177" s="530">
        <v>22283</v>
      </c>
      <c r="S177" s="530">
        <v>330558</v>
      </c>
      <c r="T177" s="530">
        <v>0</v>
      </c>
      <c r="U177" s="530">
        <v>0</v>
      </c>
      <c r="V177" s="530">
        <v>0</v>
      </c>
      <c r="W177" s="530">
        <v>330558</v>
      </c>
    </row>
    <row r="178" spans="1:23" x14ac:dyDescent="0.3">
      <c r="A178" s="176">
        <f t="shared" si="3"/>
        <v>1</v>
      </c>
      <c r="B178" s="526" t="s">
        <v>863</v>
      </c>
      <c r="C178" s="526" t="s">
        <v>437</v>
      </c>
      <c r="D178" s="526" t="s">
        <v>438</v>
      </c>
      <c r="E178" s="526" t="s">
        <v>439</v>
      </c>
      <c r="H178" s="530">
        <v>2500</v>
      </c>
      <c r="I178" s="525" t="s">
        <v>698</v>
      </c>
      <c r="J178" s="525" t="s">
        <v>633</v>
      </c>
      <c r="K178" s="530">
        <v>155928</v>
      </c>
      <c r="L178" s="530">
        <v>0</v>
      </c>
      <c r="M178" s="530">
        <v>0</v>
      </c>
      <c r="N178" s="530">
        <v>155928</v>
      </c>
      <c r="O178" s="530">
        <v>0</v>
      </c>
      <c r="P178" s="530">
        <v>0</v>
      </c>
      <c r="Q178" s="530">
        <v>0</v>
      </c>
      <c r="R178" s="530">
        <v>4923</v>
      </c>
      <c r="S178" s="530">
        <v>160851</v>
      </c>
      <c r="T178" s="530">
        <v>0</v>
      </c>
      <c r="U178" s="530">
        <v>0</v>
      </c>
      <c r="V178" s="530">
        <v>0</v>
      </c>
      <c r="W178" s="530">
        <v>160851</v>
      </c>
    </row>
    <row r="179" spans="1:23" x14ac:dyDescent="0.3">
      <c r="A179" s="176">
        <f t="shared" si="3"/>
        <v>1</v>
      </c>
      <c r="B179" s="526" t="s">
        <v>864</v>
      </c>
      <c r="C179" s="526" t="s">
        <v>462</v>
      </c>
      <c r="D179" s="526" t="s">
        <v>438</v>
      </c>
      <c r="E179" s="526" t="s">
        <v>439</v>
      </c>
      <c r="H179" s="530">
        <v>1650</v>
      </c>
      <c r="I179" s="525" t="s">
        <v>865</v>
      </c>
      <c r="J179" s="525" t="s">
        <v>493</v>
      </c>
      <c r="K179" s="530">
        <v>74915</v>
      </c>
      <c r="L179" s="530">
        <v>0</v>
      </c>
      <c r="M179" s="530">
        <v>0</v>
      </c>
      <c r="N179" s="530">
        <v>74915</v>
      </c>
      <c r="O179" s="530">
        <v>0</v>
      </c>
      <c r="P179" s="530">
        <v>0</v>
      </c>
      <c r="Q179" s="530">
        <v>0</v>
      </c>
      <c r="R179" s="530">
        <v>14799</v>
      </c>
      <c r="S179" s="530">
        <v>89713</v>
      </c>
      <c r="T179" s="530">
        <v>0</v>
      </c>
      <c r="U179" s="530">
        <v>0</v>
      </c>
      <c r="V179" s="530">
        <v>0</v>
      </c>
      <c r="W179" s="530">
        <v>89713</v>
      </c>
    </row>
    <row r="180" spans="1:23" x14ac:dyDescent="0.3">
      <c r="A180" s="176">
        <f t="shared" si="3"/>
        <v>1</v>
      </c>
      <c r="B180" s="526" t="s">
        <v>866</v>
      </c>
      <c r="C180" s="526" t="s">
        <v>455</v>
      </c>
      <c r="D180" s="526" t="s">
        <v>438</v>
      </c>
      <c r="E180" s="526" t="s">
        <v>439</v>
      </c>
      <c r="H180" s="530">
        <v>4982</v>
      </c>
      <c r="I180" s="525" t="s">
        <v>706</v>
      </c>
      <c r="J180" s="525" t="s">
        <v>472</v>
      </c>
      <c r="K180" s="530">
        <v>229300</v>
      </c>
      <c r="L180" s="530">
        <v>0</v>
      </c>
      <c r="M180" s="530">
        <v>0</v>
      </c>
      <c r="N180" s="530">
        <v>229300</v>
      </c>
      <c r="O180" s="530">
        <v>0</v>
      </c>
      <c r="P180" s="530">
        <v>0</v>
      </c>
      <c r="Q180" s="530">
        <v>0</v>
      </c>
      <c r="R180" s="530">
        <v>14792</v>
      </c>
      <c r="S180" s="530">
        <v>244092</v>
      </c>
      <c r="T180" s="530">
        <v>0</v>
      </c>
      <c r="U180" s="530">
        <v>0</v>
      </c>
      <c r="V180" s="530">
        <v>0</v>
      </c>
      <c r="W180" s="530">
        <v>244092</v>
      </c>
    </row>
    <row r="181" spans="1:23" x14ac:dyDescent="0.3">
      <c r="A181" s="176">
        <f t="shared" si="3"/>
        <v>1</v>
      </c>
      <c r="B181" s="526" t="s">
        <v>867</v>
      </c>
      <c r="C181" s="526" t="s">
        <v>437</v>
      </c>
      <c r="D181" s="526" t="s">
        <v>438</v>
      </c>
      <c r="E181" s="526" t="s">
        <v>439</v>
      </c>
      <c r="H181" s="530">
        <v>500</v>
      </c>
      <c r="I181" s="525" t="s">
        <v>554</v>
      </c>
      <c r="J181" s="525" t="s">
        <v>445</v>
      </c>
      <c r="K181" s="530">
        <v>12160</v>
      </c>
      <c r="L181" s="530">
        <v>0</v>
      </c>
      <c r="M181" s="530">
        <v>0</v>
      </c>
      <c r="N181" s="530">
        <v>12160</v>
      </c>
      <c r="O181" s="530">
        <v>0</v>
      </c>
      <c r="P181" s="530">
        <v>0</v>
      </c>
      <c r="Q181" s="530">
        <v>0</v>
      </c>
      <c r="R181" s="530">
        <v>0</v>
      </c>
      <c r="S181" s="530">
        <v>12160</v>
      </c>
      <c r="T181" s="530">
        <v>0</v>
      </c>
      <c r="U181" s="530">
        <v>0</v>
      </c>
      <c r="V181" s="530">
        <v>0</v>
      </c>
      <c r="W181" s="530">
        <v>12160</v>
      </c>
    </row>
    <row r="182" spans="1:23" x14ac:dyDescent="0.3">
      <c r="A182" s="176">
        <f t="shared" si="3"/>
        <v>1</v>
      </c>
      <c r="B182" s="526" t="s">
        <v>868</v>
      </c>
      <c r="C182" s="526" t="s">
        <v>869</v>
      </c>
      <c r="D182" s="526" t="s">
        <v>438</v>
      </c>
      <c r="E182" s="526" t="s">
        <v>439</v>
      </c>
      <c r="H182" s="530">
        <v>51060</v>
      </c>
      <c r="I182" s="525" t="s">
        <v>870</v>
      </c>
      <c r="J182" s="525" t="s">
        <v>516</v>
      </c>
      <c r="K182" s="530">
        <v>3831799</v>
      </c>
      <c r="L182" s="530">
        <v>0</v>
      </c>
      <c r="M182" s="530">
        <v>0</v>
      </c>
      <c r="N182" s="530">
        <v>3831799</v>
      </c>
      <c r="O182" s="530">
        <v>0</v>
      </c>
      <c r="P182" s="530">
        <v>0</v>
      </c>
      <c r="Q182" s="530">
        <v>0</v>
      </c>
      <c r="R182" s="530">
        <v>457961</v>
      </c>
      <c r="S182" s="530">
        <v>4289760</v>
      </c>
      <c r="T182" s="530">
        <v>0</v>
      </c>
      <c r="U182" s="530">
        <v>0</v>
      </c>
      <c r="V182" s="530">
        <v>0</v>
      </c>
      <c r="W182" s="530">
        <v>4289760</v>
      </c>
    </row>
    <row r="183" spans="1:23" x14ac:dyDescent="0.3">
      <c r="A183" s="176">
        <f t="shared" si="3"/>
        <v>1</v>
      </c>
      <c r="B183" s="526" t="s">
        <v>871</v>
      </c>
      <c r="C183" s="526" t="s">
        <v>540</v>
      </c>
      <c r="D183" s="526" t="s">
        <v>438</v>
      </c>
      <c r="E183" s="526" t="s">
        <v>439</v>
      </c>
      <c r="H183" s="530">
        <v>2151</v>
      </c>
      <c r="I183" s="525" t="s">
        <v>872</v>
      </c>
      <c r="J183" s="525" t="s">
        <v>482</v>
      </c>
      <c r="K183" s="530">
        <v>93773</v>
      </c>
      <c r="L183" s="530">
        <v>0</v>
      </c>
      <c r="M183" s="530">
        <v>0</v>
      </c>
      <c r="N183" s="530">
        <v>93773</v>
      </c>
      <c r="O183" s="530">
        <v>0</v>
      </c>
      <c r="P183" s="530">
        <v>0</v>
      </c>
      <c r="Q183" s="530">
        <v>0</v>
      </c>
      <c r="R183" s="530">
        <v>19292</v>
      </c>
      <c r="S183" s="530">
        <v>113065</v>
      </c>
      <c r="T183" s="530">
        <v>0</v>
      </c>
      <c r="U183" s="530">
        <v>0</v>
      </c>
      <c r="V183" s="530">
        <v>0</v>
      </c>
      <c r="W183" s="530">
        <v>113065</v>
      </c>
    </row>
    <row r="184" spans="1:23" x14ac:dyDescent="0.3">
      <c r="A184" s="176">
        <f t="shared" si="3"/>
        <v>1</v>
      </c>
      <c r="B184" s="526" t="s">
        <v>873</v>
      </c>
      <c r="C184" s="526" t="s">
        <v>557</v>
      </c>
      <c r="D184" s="526" t="s">
        <v>438</v>
      </c>
      <c r="E184" s="526" t="s">
        <v>439</v>
      </c>
      <c r="H184" s="530">
        <v>4839</v>
      </c>
      <c r="I184" s="525" t="s">
        <v>508</v>
      </c>
      <c r="J184" s="525" t="s">
        <v>731</v>
      </c>
      <c r="K184" s="530">
        <v>215196</v>
      </c>
      <c r="L184" s="530">
        <v>0</v>
      </c>
      <c r="M184" s="530">
        <v>0</v>
      </c>
      <c r="N184" s="530">
        <v>215196</v>
      </c>
      <c r="O184" s="530">
        <v>0</v>
      </c>
      <c r="P184" s="530">
        <v>0</v>
      </c>
      <c r="Q184" s="530">
        <v>0</v>
      </c>
      <c r="R184" s="530">
        <v>0</v>
      </c>
      <c r="S184" s="530">
        <v>215196</v>
      </c>
      <c r="T184" s="530">
        <v>0</v>
      </c>
      <c r="U184" s="530">
        <v>0</v>
      </c>
      <c r="V184" s="530">
        <v>0</v>
      </c>
      <c r="W184" s="530">
        <v>215196</v>
      </c>
    </row>
    <row r="185" spans="1:23" x14ac:dyDescent="0.3">
      <c r="A185" s="176">
        <f t="shared" si="3"/>
        <v>1</v>
      </c>
      <c r="B185" s="526" t="s">
        <v>874</v>
      </c>
      <c r="C185" s="526" t="s">
        <v>451</v>
      </c>
      <c r="D185" s="526" t="s">
        <v>438</v>
      </c>
      <c r="E185" s="526" t="s">
        <v>439</v>
      </c>
      <c r="H185" s="530">
        <v>6551</v>
      </c>
      <c r="I185" s="525" t="s">
        <v>448</v>
      </c>
      <c r="J185" s="525" t="s">
        <v>650</v>
      </c>
      <c r="K185" s="530">
        <v>242387</v>
      </c>
      <c r="L185" s="530">
        <v>0</v>
      </c>
      <c r="M185" s="530">
        <v>20199</v>
      </c>
      <c r="N185" s="530">
        <v>222188</v>
      </c>
      <c r="O185" s="530">
        <v>0</v>
      </c>
      <c r="P185" s="530">
        <v>0</v>
      </c>
      <c r="Q185" s="530">
        <v>0</v>
      </c>
      <c r="R185" s="530">
        <v>0</v>
      </c>
      <c r="S185" s="530">
        <v>222188</v>
      </c>
      <c r="T185" s="530">
        <v>524080</v>
      </c>
      <c r="U185" s="530">
        <v>65406</v>
      </c>
      <c r="V185" s="530">
        <v>0</v>
      </c>
      <c r="W185" s="530">
        <v>-367298</v>
      </c>
    </row>
    <row r="186" spans="1:23" x14ac:dyDescent="0.3">
      <c r="A186" s="176">
        <f t="shared" si="3"/>
        <v>1</v>
      </c>
      <c r="B186" s="526" t="s">
        <v>875</v>
      </c>
      <c r="C186" s="526" t="s">
        <v>815</v>
      </c>
      <c r="D186" s="526" t="s">
        <v>438</v>
      </c>
      <c r="E186" s="526" t="s">
        <v>439</v>
      </c>
      <c r="H186" s="530">
        <v>4189</v>
      </c>
      <c r="I186" s="525" t="s">
        <v>876</v>
      </c>
      <c r="J186" s="525" t="s">
        <v>500</v>
      </c>
      <c r="K186" s="530">
        <v>185778</v>
      </c>
      <c r="L186" s="530">
        <v>0</v>
      </c>
      <c r="M186" s="530">
        <v>0</v>
      </c>
      <c r="N186" s="530">
        <v>185778</v>
      </c>
      <c r="O186" s="530">
        <v>0</v>
      </c>
      <c r="P186" s="530">
        <v>0</v>
      </c>
      <c r="Q186" s="530">
        <v>0</v>
      </c>
      <c r="R186" s="530">
        <v>0</v>
      </c>
      <c r="S186" s="530">
        <v>185778</v>
      </c>
      <c r="T186" s="530">
        <v>0</v>
      </c>
      <c r="U186" s="530">
        <v>0</v>
      </c>
      <c r="V186" s="530">
        <v>0</v>
      </c>
      <c r="W186" s="530">
        <v>185778</v>
      </c>
    </row>
    <row r="187" spans="1:23" x14ac:dyDescent="0.3">
      <c r="A187" s="176">
        <f t="shared" si="3"/>
        <v>1</v>
      </c>
      <c r="B187" s="526" t="s">
        <v>877</v>
      </c>
      <c r="C187" s="526" t="s">
        <v>815</v>
      </c>
      <c r="D187" s="526" t="s">
        <v>438</v>
      </c>
      <c r="E187" s="526" t="s">
        <v>439</v>
      </c>
      <c r="H187" s="530">
        <v>4272</v>
      </c>
      <c r="I187" s="525" t="s">
        <v>558</v>
      </c>
      <c r="J187" s="525" t="s">
        <v>633</v>
      </c>
      <c r="K187" s="530">
        <v>190174</v>
      </c>
      <c r="L187" s="530">
        <v>0</v>
      </c>
      <c r="M187" s="530">
        <v>0</v>
      </c>
      <c r="N187" s="530">
        <v>190174</v>
      </c>
      <c r="O187" s="530">
        <v>0</v>
      </c>
      <c r="P187" s="530">
        <v>0</v>
      </c>
      <c r="Q187" s="530">
        <v>0</v>
      </c>
      <c r="R187" s="530">
        <v>0</v>
      </c>
      <c r="S187" s="530">
        <v>190174</v>
      </c>
      <c r="T187" s="530">
        <v>0</v>
      </c>
      <c r="U187" s="530">
        <v>0</v>
      </c>
      <c r="V187" s="530">
        <v>0</v>
      </c>
      <c r="W187" s="530">
        <v>190174</v>
      </c>
    </row>
    <row r="188" spans="1:23" x14ac:dyDescent="0.3">
      <c r="A188" s="176">
        <f t="shared" si="3"/>
        <v>1</v>
      </c>
      <c r="B188" s="526" t="s">
        <v>878</v>
      </c>
      <c r="C188" s="526" t="s">
        <v>613</v>
      </c>
      <c r="D188" s="526" t="s">
        <v>438</v>
      </c>
      <c r="E188" s="526" t="s">
        <v>439</v>
      </c>
      <c r="H188" s="530">
        <v>2736</v>
      </c>
      <c r="I188" s="525" t="s">
        <v>879</v>
      </c>
      <c r="J188" s="525" t="s">
        <v>747</v>
      </c>
      <c r="K188" s="530">
        <v>150329</v>
      </c>
      <c r="L188" s="530">
        <v>0</v>
      </c>
      <c r="M188" s="530">
        <v>0</v>
      </c>
      <c r="N188" s="530">
        <v>150329</v>
      </c>
      <c r="O188" s="530">
        <v>0</v>
      </c>
      <c r="P188" s="530">
        <v>0</v>
      </c>
      <c r="Q188" s="530">
        <v>0</v>
      </c>
      <c r="R188" s="530">
        <v>0</v>
      </c>
      <c r="S188" s="530">
        <v>150329</v>
      </c>
      <c r="T188" s="530">
        <v>0</v>
      </c>
      <c r="U188" s="530">
        <v>0</v>
      </c>
      <c r="V188" s="530">
        <v>0</v>
      </c>
      <c r="W188" s="530">
        <v>150329</v>
      </c>
    </row>
    <row r="189" spans="1:23" x14ac:dyDescent="0.3">
      <c r="A189" s="176">
        <f t="shared" si="3"/>
        <v>1</v>
      </c>
      <c r="B189" s="526" t="s">
        <v>880</v>
      </c>
      <c r="C189" s="526" t="s">
        <v>622</v>
      </c>
      <c r="D189" s="526" t="s">
        <v>438</v>
      </c>
      <c r="E189" s="526" t="s">
        <v>439</v>
      </c>
      <c r="H189" s="530">
        <v>25346</v>
      </c>
      <c r="I189" s="525" t="s">
        <v>881</v>
      </c>
      <c r="J189" s="525" t="s">
        <v>817</v>
      </c>
      <c r="K189" s="530">
        <v>1720518</v>
      </c>
      <c r="L189" s="530">
        <v>0</v>
      </c>
      <c r="M189" s="530">
        <v>0</v>
      </c>
      <c r="N189" s="530">
        <v>1720518</v>
      </c>
      <c r="O189" s="530">
        <v>0</v>
      </c>
      <c r="P189" s="530">
        <v>0</v>
      </c>
      <c r="Q189" s="530">
        <v>0</v>
      </c>
      <c r="R189" s="530">
        <v>0</v>
      </c>
      <c r="S189" s="530">
        <v>1720518</v>
      </c>
      <c r="T189" s="530">
        <v>0</v>
      </c>
      <c r="U189" s="530">
        <v>0</v>
      </c>
      <c r="V189" s="530">
        <v>0</v>
      </c>
      <c r="W189" s="530">
        <v>1720518</v>
      </c>
    </row>
    <row r="190" spans="1:23" x14ac:dyDescent="0.3">
      <c r="A190" s="176">
        <f t="shared" si="3"/>
        <v>1</v>
      </c>
      <c r="B190" s="526" t="s">
        <v>882</v>
      </c>
      <c r="C190" s="526" t="s">
        <v>451</v>
      </c>
      <c r="D190" s="526" t="s">
        <v>438</v>
      </c>
      <c r="E190" s="526" t="s">
        <v>439</v>
      </c>
      <c r="H190" s="530">
        <v>986</v>
      </c>
      <c r="I190" s="525" t="s">
        <v>511</v>
      </c>
      <c r="J190" s="525" t="s">
        <v>802</v>
      </c>
      <c r="K190" s="530">
        <v>47808</v>
      </c>
      <c r="L190" s="530">
        <v>0</v>
      </c>
      <c r="M190" s="530">
        <v>0</v>
      </c>
      <c r="N190" s="530">
        <v>47808</v>
      </c>
      <c r="O190" s="530">
        <v>0</v>
      </c>
      <c r="P190" s="530">
        <v>0</v>
      </c>
      <c r="Q190" s="530">
        <v>0</v>
      </c>
      <c r="R190" s="530">
        <v>0</v>
      </c>
      <c r="S190" s="530">
        <v>47808</v>
      </c>
      <c r="T190" s="530">
        <v>0</v>
      </c>
      <c r="U190" s="530">
        <v>0</v>
      </c>
      <c r="V190" s="530">
        <v>0</v>
      </c>
      <c r="W190" s="530">
        <v>47808</v>
      </c>
    </row>
    <row r="191" spans="1:23" x14ac:dyDescent="0.3">
      <c r="A191" s="176">
        <f t="shared" si="3"/>
        <v>1</v>
      </c>
      <c r="B191" s="526" t="s">
        <v>883</v>
      </c>
      <c r="C191" s="526" t="s">
        <v>437</v>
      </c>
      <c r="D191" s="526" t="s">
        <v>438</v>
      </c>
      <c r="E191" s="526" t="s">
        <v>439</v>
      </c>
      <c r="H191" s="530">
        <v>10000</v>
      </c>
      <c r="I191" s="525" t="s">
        <v>884</v>
      </c>
      <c r="J191" s="525" t="s">
        <v>885</v>
      </c>
      <c r="K191" s="530">
        <v>947739</v>
      </c>
      <c r="L191" s="530">
        <v>0</v>
      </c>
      <c r="M191" s="530">
        <v>0</v>
      </c>
      <c r="N191" s="530">
        <v>947739</v>
      </c>
      <c r="O191" s="530">
        <v>0</v>
      </c>
      <c r="P191" s="530">
        <v>0</v>
      </c>
      <c r="Q191" s="530">
        <v>0</v>
      </c>
      <c r="R191" s="530">
        <v>0</v>
      </c>
      <c r="S191" s="530">
        <v>947739</v>
      </c>
      <c r="T191" s="530">
        <v>0</v>
      </c>
      <c r="U191" s="530">
        <v>0</v>
      </c>
      <c r="V191" s="530">
        <v>0</v>
      </c>
      <c r="W191" s="530">
        <v>947739</v>
      </c>
    </row>
    <row r="192" spans="1:23" x14ac:dyDescent="0.3">
      <c r="A192" s="176">
        <f t="shared" si="3"/>
        <v>1</v>
      </c>
      <c r="B192" s="526" t="s">
        <v>886</v>
      </c>
      <c r="C192" s="526" t="s">
        <v>437</v>
      </c>
      <c r="D192" s="526" t="s">
        <v>438</v>
      </c>
      <c r="E192" s="526" t="s">
        <v>439</v>
      </c>
      <c r="H192" s="530">
        <v>500</v>
      </c>
      <c r="I192" s="525" t="s">
        <v>554</v>
      </c>
      <c r="J192" s="525" t="s">
        <v>785</v>
      </c>
      <c r="K192" s="530">
        <v>30401</v>
      </c>
      <c r="L192" s="530">
        <v>0</v>
      </c>
      <c r="M192" s="530">
        <v>0</v>
      </c>
      <c r="N192" s="530">
        <v>30401</v>
      </c>
      <c r="O192" s="530">
        <v>0</v>
      </c>
      <c r="P192" s="530">
        <v>0</v>
      </c>
      <c r="Q192" s="530">
        <v>0</v>
      </c>
      <c r="R192" s="530">
        <v>0</v>
      </c>
      <c r="S192" s="530">
        <v>30401</v>
      </c>
      <c r="T192" s="530">
        <v>0</v>
      </c>
      <c r="U192" s="530">
        <v>0</v>
      </c>
      <c r="V192" s="530">
        <v>0</v>
      </c>
      <c r="W192" s="530">
        <v>30401</v>
      </c>
    </row>
    <row r="193" spans="1:23" x14ac:dyDescent="0.3">
      <c r="A193" s="176">
        <f t="shared" si="3"/>
        <v>1</v>
      </c>
      <c r="B193" s="526" t="s">
        <v>887</v>
      </c>
      <c r="C193" s="526" t="s">
        <v>888</v>
      </c>
      <c r="D193" s="526" t="s">
        <v>438</v>
      </c>
      <c r="E193" s="526" t="s">
        <v>439</v>
      </c>
      <c r="H193" s="530">
        <v>475</v>
      </c>
      <c r="I193" s="525" t="s">
        <v>889</v>
      </c>
      <c r="J193" s="525" t="s">
        <v>728</v>
      </c>
      <c r="K193" s="530">
        <v>28929</v>
      </c>
      <c r="L193" s="530">
        <v>0</v>
      </c>
      <c r="M193" s="530">
        <v>0</v>
      </c>
      <c r="N193" s="530">
        <v>28929</v>
      </c>
      <c r="O193" s="530">
        <v>0</v>
      </c>
      <c r="P193" s="530">
        <v>0</v>
      </c>
      <c r="Q193" s="530">
        <v>0</v>
      </c>
      <c r="R193" s="530">
        <v>0</v>
      </c>
      <c r="S193" s="530">
        <v>28929</v>
      </c>
      <c r="T193" s="530">
        <v>0</v>
      </c>
      <c r="U193" s="530">
        <v>0</v>
      </c>
      <c r="V193" s="530">
        <v>0</v>
      </c>
      <c r="W193" s="530">
        <v>28929</v>
      </c>
    </row>
    <row r="194" spans="1:23" x14ac:dyDescent="0.3">
      <c r="A194" s="176">
        <f t="shared" si="3"/>
        <v>1</v>
      </c>
      <c r="B194" s="526" t="s">
        <v>890</v>
      </c>
      <c r="C194" s="526" t="s">
        <v>636</v>
      </c>
      <c r="D194" s="526" t="s">
        <v>438</v>
      </c>
      <c r="E194" s="526" t="s">
        <v>439</v>
      </c>
      <c r="H194" s="530">
        <v>2362</v>
      </c>
      <c r="I194" s="525" t="s">
        <v>891</v>
      </c>
      <c r="J194" s="525" t="s">
        <v>892</v>
      </c>
      <c r="K194" s="530">
        <v>110882</v>
      </c>
      <c r="L194" s="530">
        <v>0</v>
      </c>
      <c r="M194" s="530">
        <v>0</v>
      </c>
      <c r="N194" s="530">
        <v>110882</v>
      </c>
      <c r="O194" s="530">
        <v>0</v>
      </c>
      <c r="P194" s="530">
        <v>0</v>
      </c>
      <c r="Q194" s="530">
        <v>0</v>
      </c>
      <c r="R194" s="530">
        <v>18823</v>
      </c>
      <c r="S194" s="530">
        <v>129705</v>
      </c>
      <c r="T194" s="530">
        <v>0</v>
      </c>
      <c r="U194" s="530">
        <v>0</v>
      </c>
      <c r="V194" s="530">
        <v>0</v>
      </c>
      <c r="W194" s="530">
        <v>129705</v>
      </c>
    </row>
    <row r="195" spans="1:23" x14ac:dyDescent="0.3">
      <c r="A195" s="176">
        <f t="shared" si="3"/>
        <v>1</v>
      </c>
      <c r="B195" s="526" t="s">
        <v>893</v>
      </c>
      <c r="C195" s="526" t="s">
        <v>894</v>
      </c>
      <c r="D195" s="526" t="s">
        <v>438</v>
      </c>
      <c r="E195" s="526" t="s">
        <v>439</v>
      </c>
      <c r="H195" s="530">
        <v>16580</v>
      </c>
      <c r="I195" s="525" t="s">
        <v>895</v>
      </c>
      <c r="J195" s="525" t="s">
        <v>571</v>
      </c>
      <c r="K195" s="530">
        <v>1153829</v>
      </c>
      <c r="L195" s="530">
        <v>0</v>
      </c>
      <c r="M195" s="530">
        <v>0</v>
      </c>
      <c r="N195" s="530">
        <v>1153829</v>
      </c>
      <c r="O195" s="530">
        <v>0</v>
      </c>
      <c r="P195" s="530">
        <v>0</v>
      </c>
      <c r="Q195" s="530">
        <v>0</v>
      </c>
      <c r="R195" s="530">
        <v>49227</v>
      </c>
      <c r="S195" s="530">
        <v>1203056</v>
      </c>
      <c r="T195" s="530">
        <v>0</v>
      </c>
      <c r="U195" s="530">
        <v>0</v>
      </c>
      <c r="V195" s="530">
        <v>0</v>
      </c>
      <c r="W195" s="530">
        <v>1203056</v>
      </c>
    </row>
    <row r="196" spans="1:23" x14ac:dyDescent="0.3">
      <c r="A196" s="176">
        <f t="shared" si="3"/>
        <v>1</v>
      </c>
      <c r="B196" s="526" t="s">
        <v>896</v>
      </c>
      <c r="C196" s="526" t="s">
        <v>618</v>
      </c>
      <c r="D196" s="526" t="s">
        <v>438</v>
      </c>
      <c r="E196" s="526" t="s">
        <v>439</v>
      </c>
      <c r="H196" s="530">
        <v>19200</v>
      </c>
      <c r="I196" s="525" t="s">
        <v>897</v>
      </c>
      <c r="J196" s="525" t="s">
        <v>523</v>
      </c>
      <c r="K196" s="530">
        <v>1138779</v>
      </c>
      <c r="L196" s="530">
        <v>0</v>
      </c>
      <c r="M196" s="530">
        <v>0</v>
      </c>
      <c r="N196" s="530">
        <v>1138779</v>
      </c>
      <c r="O196" s="530">
        <v>0</v>
      </c>
      <c r="P196" s="530">
        <v>0</v>
      </c>
      <c r="Q196" s="530">
        <v>0</v>
      </c>
      <c r="R196" s="530">
        <v>0</v>
      </c>
      <c r="S196" s="530">
        <v>1138779</v>
      </c>
      <c r="T196" s="530">
        <v>0</v>
      </c>
      <c r="U196" s="530">
        <v>0</v>
      </c>
      <c r="V196" s="530">
        <v>0</v>
      </c>
      <c r="W196" s="530">
        <v>1138779</v>
      </c>
    </row>
    <row r="197" spans="1:23" x14ac:dyDescent="0.3">
      <c r="A197" s="176">
        <f t="shared" si="3"/>
        <v>0</v>
      </c>
      <c r="B197" s="526" t="s">
        <v>898</v>
      </c>
      <c r="C197" s="526" t="s">
        <v>899</v>
      </c>
      <c r="D197" s="526" t="s">
        <v>438</v>
      </c>
      <c r="E197" s="526" t="s">
        <v>900</v>
      </c>
      <c r="H197" s="530">
        <v>46330</v>
      </c>
      <c r="I197" s="525" t="s">
        <v>448</v>
      </c>
      <c r="J197" s="525" t="s">
        <v>943</v>
      </c>
      <c r="K197" s="530">
        <v>2779800</v>
      </c>
      <c r="L197" s="530">
        <v>0</v>
      </c>
      <c r="M197" s="530">
        <v>926600</v>
      </c>
      <c r="N197" s="530">
        <v>1853200</v>
      </c>
      <c r="O197" s="530">
        <v>0</v>
      </c>
      <c r="P197" s="530">
        <v>0</v>
      </c>
      <c r="Q197" s="530">
        <v>0</v>
      </c>
      <c r="R197" s="530">
        <v>0</v>
      </c>
      <c r="S197" s="530">
        <v>1853200</v>
      </c>
      <c r="T197" s="530">
        <v>2779800</v>
      </c>
      <c r="U197" s="530">
        <v>1689376</v>
      </c>
      <c r="V197" s="530">
        <v>0</v>
      </c>
      <c r="W197" s="530">
        <v>-2615976</v>
      </c>
    </row>
    <row r="198" spans="1:23" x14ac:dyDescent="0.3">
      <c r="A198" s="176">
        <f t="shared" si="3"/>
        <v>0</v>
      </c>
      <c r="B198" s="526" t="s">
        <v>901</v>
      </c>
      <c r="C198" s="526" t="s">
        <v>899</v>
      </c>
      <c r="D198" s="526" t="s">
        <v>438</v>
      </c>
      <c r="E198" s="526" t="s">
        <v>900</v>
      </c>
      <c r="H198" s="530">
        <v>46330</v>
      </c>
      <c r="I198" s="525" t="s">
        <v>912</v>
      </c>
      <c r="J198" s="525" t="s">
        <v>666</v>
      </c>
      <c r="K198" s="530">
        <v>2779800</v>
      </c>
      <c r="L198" s="530">
        <v>1389900</v>
      </c>
      <c r="M198" s="530">
        <v>926600</v>
      </c>
      <c r="N198" s="530">
        <v>463300</v>
      </c>
      <c r="O198" s="530">
        <v>0</v>
      </c>
      <c r="P198" s="530">
        <v>0</v>
      </c>
      <c r="Q198" s="530">
        <v>0</v>
      </c>
      <c r="R198" s="530">
        <v>0</v>
      </c>
      <c r="S198" s="530">
        <v>463300</v>
      </c>
      <c r="T198" s="530">
        <v>2779800</v>
      </c>
      <c r="U198" s="530">
        <v>1689376</v>
      </c>
      <c r="V198" s="530">
        <v>0</v>
      </c>
      <c r="W198" s="530">
        <v>-4005876</v>
      </c>
    </row>
    <row r="199" spans="1:23" x14ac:dyDescent="0.3">
      <c r="A199" s="176">
        <f t="shared" si="3"/>
        <v>0</v>
      </c>
      <c r="B199" s="526" t="s">
        <v>902</v>
      </c>
      <c r="C199" s="526" t="s">
        <v>899</v>
      </c>
      <c r="D199" s="526" t="s">
        <v>438</v>
      </c>
      <c r="E199" s="526" t="s">
        <v>900</v>
      </c>
      <c r="I199" s="525" t="s">
        <v>906</v>
      </c>
      <c r="J199" s="525" t="s">
        <v>892</v>
      </c>
    </row>
    <row r="200" spans="1:23" x14ac:dyDescent="0.3">
      <c r="A200" s="176">
        <f t="shared" si="3"/>
        <v>0</v>
      </c>
      <c r="B200" s="526" t="s">
        <v>905</v>
      </c>
      <c r="C200" s="526" t="s">
        <v>899</v>
      </c>
      <c r="D200" s="526" t="s">
        <v>438</v>
      </c>
      <c r="E200" s="526" t="s">
        <v>900</v>
      </c>
      <c r="I200" s="525" t="s">
        <v>944</v>
      </c>
      <c r="J200" s="525" t="s">
        <v>757</v>
      </c>
    </row>
    <row r="201" spans="1:23" x14ac:dyDescent="0.3">
      <c r="A201" s="176">
        <f t="shared" si="3"/>
        <v>0</v>
      </c>
      <c r="B201" s="526" t="s">
        <v>907</v>
      </c>
      <c r="C201" s="526" t="s">
        <v>899</v>
      </c>
      <c r="D201" s="526" t="s">
        <v>438</v>
      </c>
      <c r="E201" s="526" t="s">
        <v>900</v>
      </c>
      <c r="I201" s="525" t="s">
        <v>945</v>
      </c>
      <c r="J201" s="525" t="s">
        <v>946</v>
      </c>
    </row>
    <row r="202" spans="1:23" x14ac:dyDescent="0.3">
      <c r="A202" s="176">
        <f t="shared" si="3"/>
        <v>0</v>
      </c>
      <c r="B202" s="526" t="s">
        <v>908</v>
      </c>
      <c r="C202" s="526" t="s">
        <v>899</v>
      </c>
      <c r="D202" s="526" t="s">
        <v>438</v>
      </c>
      <c r="E202" s="526" t="s">
        <v>900</v>
      </c>
      <c r="I202" s="525" t="s">
        <v>947</v>
      </c>
      <c r="J202" s="525" t="s">
        <v>750</v>
      </c>
    </row>
    <row r="203" spans="1:23" x14ac:dyDescent="0.3">
      <c r="A203" s="176">
        <f t="shared" si="3"/>
        <v>0</v>
      </c>
      <c r="B203" s="526" t="s">
        <v>909</v>
      </c>
      <c r="C203" s="526" t="s">
        <v>899</v>
      </c>
      <c r="D203" s="526" t="s">
        <v>438</v>
      </c>
      <c r="E203" s="526" t="s">
        <v>900</v>
      </c>
      <c r="H203" s="530">
        <v>13132</v>
      </c>
      <c r="I203" s="525" t="s">
        <v>448</v>
      </c>
      <c r="J203" s="525" t="s">
        <v>943</v>
      </c>
      <c r="K203" s="530">
        <v>919240</v>
      </c>
      <c r="L203" s="530">
        <v>0</v>
      </c>
      <c r="M203" s="530">
        <v>153207</v>
      </c>
      <c r="N203" s="530">
        <v>766033</v>
      </c>
      <c r="O203" s="530">
        <v>0</v>
      </c>
      <c r="P203" s="530">
        <v>0</v>
      </c>
      <c r="Q203" s="530">
        <v>0</v>
      </c>
      <c r="R203" s="530">
        <v>0</v>
      </c>
      <c r="S203" s="530">
        <v>766033</v>
      </c>
      <c r="T203" s="530">
        <v>1313200</v>
      </c>
      <c r="U203" s="530">
        <v>567845</v>
      </c>
      <c r="V203" s="530">
        <v>0</v>
      </c>
      <c r="W203" s="530">
        <v>-1115011</v>
      </c>
    </row>
    <row r="204" spans="1:23" x14ac:dyDescent="0.3">
      <c r="A204" s="176">
        <f t="shared" si="3"/>
        <v>0</v>
      </c>
      <c r="B204" s="526" t="s">
        <v>910</v>
      </c>
      <c r="C204" s="526" t="s">
        <v>899</v>
      </c>
      <c r="D204" s="526" t="s">
        <v>438</v>
      </c>
      <c r="E204" s="526" t="s">
        <v>900</v>
      </c>
      <c r="H204" s="530">
        <v>13132</v>
      </c>
      <c r="I204" s="525" t="s">
        <v>948</v>
      </c>
      <c r="J204" s="525" t="s">
        <v>949</v>
      </c>
      <c r="K204" s="530">
        <v>919240</v>
      </c>
      <c r="L204" s="530">
        <v>229810</v>
      </c>
      <c r="M204" s="530">
        <v>153207</v>
      </c>
      <c r="N204" s="530">
        <v>536223</v>
      </c>
      <c r="O204" s="530">
        <v>0</v>
      </c>
      <c r="P204" s="530">
        <v>0</v>
      </c>
      <c r="Q204" s="530">
        <v>0</v>
      </c>
      <c r="R204" s="530">
        <v>0</v>
      </c>
      <c r="S204" s="530">
        <v>536223</v>
      </c>
      <c r="T204" s="530">
        <v>1313200</v>
      </c>
      <c r="U204" s="530">
        <v>567845</v>
      </c>
      <c r="V204" s="530">
        <v>0</v>
      </c>
      <c r="W204" s="530">
        <v>-1344821</v>
      </c>
    </row>
    <row r="205" spans="1:23" x14ac:dyDescent="0.3">
      <c r="A205" s="176">
        <f t="shared" ref="A205:A268" si="4">IF(E205="Contract",1,0)</f>
        <v>0</v>
      </c>
      <c r="B205" s="526" t="s">
        <v>911</v>
      </c>
      <c r="C205" s="526" t="s">
        <v>899</v>
      </c>
      <c r="D205" s="526" t="s">
        <v>438</v>
      </c>
      <c r="E205" s="526" t="s">
        <v>900</v>
      </c>
      <c r="H205" s="530">
        <v>13132</v>
      </c>
      <c r="I205" s="525" t="s">
        <v>912</v>
      </c>
      <c r="J205" s="525" t="s">
        <v>666</v>
      </c>
      <c r="K205" s="530">
        <v>919240</v>
      </c>
      <c r="L205" s="530">
        <v>459620</v>
      </c>
      <c r="M205" s="530">
        <v>153207</v>
      </c>
      <c r="N205" s="530">
        <v>306413</v>
      </c>
      <c r="O205" s="530">
        <v>0</v>
      </c>
      <c r="P205" s="530">
        <v>0</v>
      </c>
      <c r="Q205" s="530">
        <v>0</v>
      </c>
      <c r="R205" s="530">
        <v>0</v>
      </c>
      <c r="S205" s="530">
        <v>306413</v>
      </c>
      <c r="T205" s="530">
        <v>1313200</v>
      </c>
      <c r="U205" s="530">
        <v>567845</v>
      </c>
      <c r="V205" s="530">
        <v>0</v>
      </c>
      <c r="W205" s="530">
        <v>-1574631</v>
      </c>
    </row>
    <row r="206" spans="1:23" x14ac:dyDescent="0.3">
      <c r="A206" s="176">
        <f t="shared" si="4"/>
        <v>0</v>
      </c>
      <c r="B206" s="526" t="s">
        <v>913</v>
      </c>
      <c r="C206" s="526" t="s">
        <v>899</v>
      </c>
      <c r="D206" s="526" t="s">
        <v>438</v>
      </c>
      <c r="E206" s="526" t="s">
        <v>900</v>
      </c>
      <c r="H206" s="530">
        <v>13132</v>
      </c>
      <c r="I206" s="525" t="s">
        <v>903</v>
      </c>
      <c r="J206" s="525" t="s">
        <v>904</v>
      </c>
      <c r="K206" s="530">
        <v>919240</v>
      </c>
      <c r="L206" s="530">
        <v>689430</v>
      </c>
      <c r="M206" s="530">
        <v>153207</v>
      </c>
      <c r="N206" s="530">
        <v>76603</v>
      </c>
      <c r="O206" s="530">
        <v>0</v>
      </c>
      <c r="P206" s="530">
        <v>0</v>
      </c>
      <c r="Q206" s="530">
        <v>0</v>
      </c>
      <c r="R206" s="530">
        <v>0</v>
      </c>
      <c r="S206" s="530">
        <v>76603</v>
      </c>
      <c r="T206" s="530">
        <v>1313200</v>
      </c>
      <c r="U206" s="530">
        <v>567845</v>
      </c>
      <c r="V206" s="530">
        <v>0</v>
      </c>
      <c r="W206" s="530">
        <v>-1804441</v>
      </c>
    </row>
    <row r="207" spans="1:23" x14ac:dyDescent="0.3">
      <c r="A207" s="176">
        <f t="shared" si="4"/>
        <v>0</v>
      </c>
      <c r="B207" s="526" t="s">
        <v>914</v>
      </c>
      <c r="C207" s="526" t="s">
        <v>899</v>
      </c>
      <c r="D207" s="526" t="s">
        <v>438</v>
      </c>
      <c r="E207" s="526" t="s">
        <v>900</v>
      </c>
      <c r="H207" s="530">
        <v>25294</v>
      </c>
      <c r="I207" s="525" t="s">
        <v>448</v>
      </c>
      <c r="J207" s="525" t="s">
        <v>943</v>
      </c>
      <c r="K207" s="530">
        <v>1517640</v>
      </c>
      <c r="L207" s="530">
        <v>0</v>
      </c>
      <c r="M207" s="530">
        <v>505880</v>
      </c>
      <c r="N207" s="530">
        <v>1011760</v>
      </c>
      <c r="O207" s="530">
        <v>0</v>
      </c>
      <c r="P207" s="530">
        <v>0</v>
      </c>
      <c r="Q207" s="530">
        <v>0</v>
      </c>
      <c r="R207" s="530">
        <v>0</v>
      </c>
      <c r="S207" s="530">
        <v>1011760</v>
      </c>
      <c r="T207" s="530">
        <v>1517640</v>
      </c>
      <c r="U207" s="530">
        <v>922320</v>
      </c>
      <c r="V207" s="530">
        <v>0</v>
      </c>
      <c r="W207" s="530">
        <v>-1428200</v>
      </c>
    </row>
    <row r="208" spans="1:23" x14ac:dyDescent="0.3">
      <c r="A208" s="176">
        <f t="shared" si="4"/>
        <v>0</v>
      </c>
      <c r="B208" s="526" t="s">
        <v>915</v>
      </c>
      <c r="C208" s="526" t="s">
        <v>899</v>
      </c>
      <c r="D208" s="526" t="s">
        <v>438</v>
      </c>
      <c r="E208" s="526" t="s">
        <v>900</v>
      </c>
      <c r="H208" s="530">
        <v>25294</v>
      </c>
      <c r="I208" s="525" t="s">
        <v>912</v>
      </c>
      <c r="J208" s="525" t="s">
        <v>666</v>
      </c>
      <c r="K208" s="530">
        <v>1517640</v>
      </c>
      <c r="L208" s="530">
        <v>758820</v>
      </c>
      <c r="M208" s="530">
        <v>505880</v>
      </c>
      <c r="N208" s="530">
        <v>252940</v>
      </c>
      <c r="O208" s="530">
        <v>0</v>
      </c>
      <c r="P208" s="530">
        <v>0</v>
      </c>
      <c r="Q208" s="530">
        <v>0</v>
      </c>
      <c r="R208" s="530">
        <v>0</v>
      </c>
      <c r="S208" s="530">
        <v>252940</v>
      </c>
      <c r="T208" s="530">
        <v>1517640</v>
      </c>
      <c r="U208" s="530">
        <v>922320</v>
      </c>
      <c r="V208" s="530">
        <v>0</v>
      </c>
      <c r="W208" s="530">
        <v>-2187020</v>
      </c>
    </row>
    <row r="209" spans="1:23" x14ac:dyDescent="0.3">
      <c r="A209" s="176">
        <f t="shared" si="4"/>
        <v>0</v>
      </c>
      <c r="B209" s="526" t="s">
        <v>916</v>
      </c>
      <c r="C209" s="526" t="s">
        <v>899</v>
      </c>
      <c r="D209" s="526" t="s">
        <v>438</v>
      </c>
      <c r="E209" s="526" t="s">
        <v>900</v>
      </c>
      <c r="I209" s="525" t="s">
        <v>906</v>
      </c>
      <c r="J209" s="525" t="s">
        <v>892</v>
      </c>
    </row>
    <row r="210" spans="1:23" x14ac:dyDescent="0.3">
      <c r="A210" s="176">
        <f t="shared" si="4"/>
        <v>0</v>
      </c>
      <c r="B210" s="526" t="s">
        <v>917</v>
      </c>
      <c r="C210" s="526" t="s">
        <v>899</v>
      </c>
      <c r="D210" s="526" t="s">
        <v>438</v>
      </c>
      <c r="E210" s="526" t="s">
        <v>900</v>
      </c>
      <c r="I210" s="525" t="s">
        <v>944</v>
      </c>
      <c r="J210" s="525" t="s">
        <v>757</v>
      </c>
    </row>
    <row r="211" spans="1:23" x14ac:dyDescent="0.3">
      <c r="A211" s="176">
        <f t="shared" si="4"/>
        <v>0</v>
      </c>
      <c r="B211" s="526" t="s">
        <v>918</v>
      </c>
      <c r="C211" s="526" t="s">
        <v>899</v>
      </c>
      <c r="D211" s="526" t="s">
        <v>438</v>
      </c>
      <c r="E211" s="526" t="s">
        <v>900</v>
      </c>
      <c r="H211" s="530">
        <v>7903</v>
      </c>
      <c r="I211" s="525" t="s">
        <v>448</v>
      </c>
      <c r="J211" s="525" t="s">
        <v>950</v>
      </c>
      <c r="K211" s="530">
        <v>553210</v>
      </c>
      <c r="L211" s="530">
        <v>0</v>
      </c>
      <c r="M211" s="530">
        <v>92202</v>
      </c>
      <c r="N211" s="530">
        <v>461008</v>
      </c>
      <c r="O211" s="530">
        <v>0</v>
      </c>
      <c r="P211" s="530">
        <v>0</v>
      </c>
      <c r="Q211" s="530">
        <v>0</v>
      </c>
      <c r="R211" s="530">
        <v>244749</v>
      </c>
      <c r="S211" s="530">
        <v>705757</v>
      </c>
      <c r="T211" s="530">
        <v>355635</v>
      </c>
      <c r="U211" s="530">
        <v>233904</v>
      </c>
      <c r="V211" s="530">
        <v>0</v>
      </c>
      <c r="W211" s="530">
        <v>116218</v>
      </c>
    </row>
    <row r="212" spans="1:23" x14ac:dyDescent="0.3">
      <c r="A212" s="176">
        <f t="shared" si="4"/>
        <v>0</v>
      </c>
      <c r="B212" s="526" t="s">
        <v>919</v>
      </c>
      <c r="C212" s="526" t="s">
        <v>899</v>
      </c>
      <c r="D212" s="526" t="s">
        <v>438</v>
      </c>
      <c r="E212" s="526" t="s">
        <v>900</v>
      </c>
      <c r="H212" s="530">
        <v>7903</v>
      </c>
      <c r="I212" s="525" t="s">
        <v>948</v>
      </c>
      <c r="J212" s="525" t="s">
        <v>951</v>
      </c>
      <c r="K212" s="530">
        <v>553210</v>
      </c>
      <c r="L212" s="530">
        <v>138303</v>
      </c>
      <c r="M212" s="530">
        <v>92202</v>
      </c>
      <c r="N212" s="530">
        <v>322706</v>
      </c>
      <c r="O212" s="530">
        <v>0</v>
      </c>
      <c r="P212" s="530">
        <v>0</v>
      </c>
      <c r="Q212" s="530">
        <v>0</v>
      </c>
      <c r="R212" s="530">
        <v>183561</v>
      </c>
      <c r="S212" s="530">
        <v>506267</v>
      </c>
      <c r="T212" s="530">
        <v>355635</v>
      </c>
      <c r="U212" s="530">
        <v>233904</v>
      </c>
      <c r="V212" s="530">
        <v>0</v>
      </c>
      <c r="W212" s="530">
        <v>-83272</v>
      </c>
    </row>
    <row r="213" spans="1:23" x14ac:dyDescent="0.3">
      <c r="A213" s="176">
        <f t="shared" si="4"/>
        <v>0</v>
      </c>
      <c r="B213" s="526" t="s">
        <v>920</v>
      </c>
      <c r="C213" s="526" t="s">
        <v>899</v>
      </c>
      <c r="D213" s="526" t="s">
        <v>438</v>
      </c>
      <c r="E213" s="526" t="s">
        <v>900</v>
      </c>
      <c r="H213" s="530">
        <v>7902</v>
      </c>
      <c r="I213" s="525" t="s">
        <v>912</v>
      </c>
      <c r="J213" s="525" t="s">
        <v>490</v>
      </c>
      <c r="K213" s="530">
        <v>553140</v>
      </c>
      <c r="L213" s="530">
        <v>276570</v>
      </c>
      <c r="M213" s="530">
        <v>92190</v>
      </c>
      <c r="N213" s="530">
        <v>184380</v>
      </c>
      <c r="O213" s="530">
        <v>0</v>
      </c>
      <c r="P213" s="530">
        <v>0</v>
      </c>
      <c r="Q213" s="530">
        <v>0</v>
      </c>
      <c r="R213" s="530">
        <v>122359</v>
      </c>
      <c r="S213" s="530">
        <v>306739</v>
      </c>
      <c r="T213" s="530">
        <v>355590</v>
      </c>
      <c r="U213" s="530">
        <v>233874</v>
      </c>
      <c r="V213" s="530">
        <v>0</v>
      </c>
      <c r="W213" s="530">
        <v>-282725</v>
      </c>
    </row>
    <row r="214" spans="1:23" ht="15" thickBot="1" x14ac:dyDescent="0.35">
      <c r="A214" s="176">
        <f t="shared" si="4"/>
        <v>0</v>
      </c>
    </row>
    <row r="215" spans="1:23" ht="15" thickBot="1" x14ac:dyDescent="0.35">
      <c r="A215" s="176">
        <f t="shared" si="4"/>
        <v>0</v>
      </c>
      <c r="B215" s="528" t="s">
        <v>921</v>
      </c>
      <c r="H215" s="550">
        <v>2572667</v>
      </c>
      <c r="K215" s="550">
        <v>178576265</v>
      </c>
      <c r="L215" s="550">
        <v>5752573</v>
      </c>
      <c r="M215" s="550">
        <v>6047431</v>
      </c>
      <c r="N215" s="550">
        <v>166776261</v>
      </c>
      <c r="O215" s="550">
        <v>0</v>
      </c>
      <c r="P215" s="550">
        <v>0</v>
      </c>
      <c r="Q215" s="550">
        <v>0</v>
      </c>
      <c r="R215" s="550">
        <v>10664704</v>
      </c>
      <c r="S215" s="550">
        <v>177440965</v>
      </c>
      <c r="T215" s="550">
        <v>34949871</v>
      </c>
      <c r="U215" s="550">
        <v>17396760</v>
      </c>
      <c r="V215" s="550">
        <v>0</v>
      </c>
      <c r="W215" s="550">
        <v>125094334</v>
      </c>
    </row>
    <row r="216" spans="1:23" x14ac:dyDescent="0.3">
      <c r="A216" s="176">
        <f t="shared" si="4"/>
        <v>0</v>
      </c>
      <c r="H216" s="550"/>
      <c r="K216" s="550"/>
      <c r="L216" s="550"/>
      <c r="M216" s="550"/>
      <c r="N216" s="550"/>
      <c r="O216" s="550"/>
      <c r="P216" s="550"/>
      <c r="Q216" s="550"/>
      <c r="R216" s="550"/>
      <c r="S216" s="550"/>
      <c r="T216" s="550"/>
      <c r="U216" s="550"/>
      <c r="V216" s="550"/>
      <c r="W216" s="550"/>
    </row>
    <row r="217" spans="1:23" x14ac:dyDescent="0.3">
      <c r="A217" s="176">
        <f t="shared" si="4"/>
        <v>0</v>
      </c>
    </row>
    <row r="218" spans="1:23" x14ac:dyDescent="0.3">
      <c r="A218" s="176">
        <f t="shared" si="4"/>
        <v>0</v>
      </c>
    </row>
    <row r="219" spans="1:23" x14ac:dyDescent="0.3">
      <c r="A219" s="176">
        <f t="shared" si="4"/>
        <v>0</v>
      </c>
    </row>
    <row r="220" spans="1:23" x14ac:dyDescent="0.3">
      <c r="A220" s="176">
        <f t="shared" si="4"/>
        <v>0</v>
      </c>
    </row>
    <row r="221" spans="1:23" x14ac:dyDescent="0.3">
      <c r="A221" s="176">
        <f t="shared" si="4"/>
        <v>0</v>
      </c>
    </row>
    <row r="222" spans="1:23" x14ac:dyDescent="0.3">
      <c r="A222" s="176">
        <f t="shared" si="4"/>
        <v>0</v>
      </c>
    </row>
    <row r="223" spans="1:23" x14ac:dyDescent="0.3">
      <c r="A223" s="176">
        <f t="shared" si="4"/>
        <v>0</v>
      </c>
    </row>
    <row r="224" spans="1:23" x14ac:dyDescent="0.3">
      <c r="A224" s="176">
        <f t="shared" si="4"/>
        <v>0</v>
      </c>
    </row>
    <row r="225" spans="1:1" x14ac:dyDescent="0.3">
      <c r="A225" s="176">
        <f t="shared" si="4"/>
        <v>0</v>
      </c>
    </row>
    <row r="226" spans="1:1" x14ac:dyDescent="0.3">
      <c r="A226" s="176">
        <f t="shared" si="4"/>
        <v>0</v>
      </c>
    </row>
    <row r="227" spans="1:1" x14ac:dyDescent="0.3">
      <c r="A227" s="176">
        <f t="shared" si="4"/>
        <v>0</v>
      </c>
    </row>
    <row r="228" spans="1:1" x14ac:dyDescent="0.3">
      <c r="A228" s="176">
        <f t="shared" si="4"/>
        <v>0</v>
      </c>
    </row>
    <row r="229" spans="1:1" x14ac:dyDescent="0.3">
      <c r="A229" s="176">
        <f t="shared" si="4"/>
        <v>0</v>
      </c>
    </row>
    <row r="230" spans="1:1" x14ac:dyDescent="0.3">
      <c r="A230" s="176">
        <f t="shared" si="4"/>
        <v>0</v>
      </c>
    </row>
    <row r="231" spans="1:1" x14ac:dyDescent="0.3">
      <c r="A231" s="176">
        <f t="shared" si="4"/>
        <v>0</v>
      </c>
    </row>
    <row r="232" spans="1:1" x14ac:dyDescent="0.3">
      <c r="A232" s="176">
        <f t="shared" si="4"/>
        <v>0</v>
      </c>
    </row>
    <row r="233" spans="1:1" x14ac:dyDescent="0.3">
      <c r="A233" s="176">
        <f t="shared" si="4"/>
        <v>0</v>
      </c>
    </row>
    <row r="234" spans="1:1" x14ac:dyDescent="0.3">
      <c r="A234" s="176">
        <f t="shared" si="4"/>
        <v>0</v>
      </c>
    </row>
    <row r="235" spans="1:1" x14ac:dyDescent="0.3">
      <c r="A235" s="176">
        <f t="shared" si="4"/>
        <v>0</v>
      </c>
    </row>
    <row r="236" spans="1:1" x14ac:dyDescent="0.3">
      <c r="A236" s="176">
        <f t="shared" si="4"/>
        <v>0</v>
      </c>
    </row>
    <row r="237" spans="1:1" x14ac:dyDescent="0.3">
      <c r="A237" s="176">
        <f t="shared" si="4"/>
        <v>0</v>
      </c>
    </row>
    <row r="238" spans="1:1" x14ac:dyDescent="0.3">
      <c r="A238" s="176">
        <f t="shared" si="4"/>
        <v>0</v>
      </c>
    </row>
    <row r="239" spans="1:1" x14ac:dyDescent="0.3">
      <c r="A239" s="176">
        <f t="shared" si="4"/>
        <v>0</v>
      </c>
    </row>
    <row r="240" spans="1:1" x14ac:dyDescent="0.3">
      <c r="A240" s="176">
        <f t="shared" si="4"/>
        <v>0</v>
      </c>
    </row>
    <row r="241" spans="1:1" x14ac:dyDescent="0.3">
      <c r="A241" s="176">
        <f t="shared" si="4"/>
        <v>0</v>
      </c>
    </row>
    <row r="242" spans="1:1" x14ac:dyDescent="0.3">
      <c r="A242" s="176">
        <f t="shared" si="4"/>
        <v>0</v>
      </c>
    </row>
    <row r="243" spans="1:1" x14ac:dyDescent="0.3">
      <c r="A243" s="176">
        <f t="shared" si="4"/>
        <v>0</v>
      </c>
    </row>
    <row r="244" spans="1:1" x14ac:dyDescent="0.3">
      <c r="A244" s="176">
        <f t="shared" si="4"/>
        <v>0</v>
      </c>
    </row>
    <row r="245" spans="1:1" x14ac:dyDescent="0.3">
      <c r="A245" s="176">
        <f t="shared" si="4"/>
        <v>0</v>
      </c>
    </row>
    <row r="246" spans="1:1" x14ac:dyDescent="0.3">
      <c r="A246" s="176">
        <f t="shared" si="4"/>
        <v>0</v>
      </c>
    </row>
    <row r="247" spans="1:1" x14ac:dyDescent="0.3">
      <c r="A247" s="176">
        <f t="shared" si="4"/>
        <v>0</v>
      </c>
    </row>
    <row r="248" spans="1:1" x14ac:dyDescent="0.3">
      <c r="A248" s="176">
        <f t="shared" si="4"/>
        <v>0</v>
      </c>
    </row>
    <row r="249" spans="1:1" x14ac:dyDescent="0.3">
      <c r="A249" s="176">
        <f t="shared" si="4"/>
        <v>0</v>
      </c>
    </row>
    <row r="250" spans="1:1" x14ac:dyDescent="0.3">
      <c r="A250" s="176">
        <f t="shared" si="4"/>
        <v>0</v>
      </c>
    </row>
    <row r="251" spans="1:1" x14ac:dyDescent="0.3">
      <c r="A251" s="176">
        <f t="shared" si="4"/>
        <v>0</v>
      </c>
    </row>
    <row r="252" spans="1:1" x14ac:dyDescent="0.3">
      <c r="A252" s="176">
        <f t="shared" si="4"/>
        <v>0</v>
      </c>
    </row>
    <row r="253" spans="1:1" x14ac:dyDescent="0.3">
      <c r="A253" s="176">
        <f t="shared" si="4"/>
        <v>0</v>
      </c>
    </row>
    <row r="254" spans="1:1" x14ac:dyDescent="0.3">
      <c r="A254" s="176">
        <f t="shared" si="4"/>
        <v>0</v>
      </c>
    </row>
    <row r="255" spans="1:1" x14ac:dyDescent="0.3">
      <c r="A255" s="176">
        <f t="shared" si="4"/>
        <v>0</v>
      </c>
    </row>
    <row r="256" spans="1:1" x14ac:dyDescent="0.3">
      <c r="A256" s="176">
        <f t="shared" si="4"/>
        <v>0</v>
      </c>
    </row>
    <row r="257" spans="1:1" x14ac:dyDescent="0.3">
      <c r="A257" s="176">
        <f t="shared" si="4"/>
        <v>0</v>
      </c>
    </row>
    <row r="258" spans="1:1" x14ac:dyDescent="0.3">
      <c r="A258" s="176">
        <f t="shared" si="4"/>
        <v>0</v>
      </c>
    </row>
    <row r="259" spans="1:1" x14ac:dyDescent="0.3">
      <c r="A259" s="176">
        <f t="shared" si="4"/>
        <v>0</v>
      </c>
    </row>
    <row r="260" spans="1:1" x14ac:dyDescent="0.3">
      <c r="A260" s="176">
        <f t="shared" si="4"/>
        <v>0</v>
      </c>
    </row>
    <row r="261" spans="1:1" x14ac:dyDescent="0.3">
      <c r="A261" s="176">
        <f t="shared" si="4"/>
        <v>0</v>
      </c>
    </row>
    <row r="262" spans="1:1" x14ac:dyDescent="0.3">
      <c r="A262" s="176">
        <f t="shared" si="4"/>
        <v>0</v>
      </c>
    </row>
    <row r="263" spans="1:1" x14ac:dyDescent="0.3">
      <c r="A263" s="176">
        <f t="shared" si="4"/>
        <v>0</v>
      </c>
    </row>
    <row r="264" spans="1:1" x14ac:dyDescent="0.3">
      <c r="A264" s="176">
        <f t="shared" si="4"/>
        <v>0</v>
      </c>
    </row>
    <row r="265" spans="1:1" x14ac:dyDescent="0.3">
      <c r="A265" s="176">
        <f t="shared" si="4"/>
        <v>0</v>
      </c>
    </row>
    <row r="266" spans="1:1" x14ac:dyDescent="0.3">
      <c r="A266" s="176">
        <f t="shared" si="4"/>
        <v>0</v>
      </c>
    </row>
    <row r="267" spans="1:1" x14ac:dyDescent="0.3">
      <c r="A267" s="176">
        <f t="shared" si="4"/>
        <v>0</v>
      </c>
    </row>
    <row r="268" spans="1:1" x14ac:dyDescent="0.3">
      <c r="A268" s="176">
        <f t="shared" si="4"/>
        <v>0</v>
      </c>
    </row>
    <row r="269" spans="1:1" x14ac:dyDescent="0.3">
      <c r="A269" s="176">
        <f t="shared" ref="A269:A332" si="5">IF(E269="Contract",1,0)</f>
        <v>0</v>
      </c>
    </row>
    <row r="270" spans="1:1" x14ac:dyDescent="0.3">
      <c r="A270" s="176">
        <f t="shared" si="5"/>
        <v>0</v>
      </c>
    </row>
    <row r="271" spans="1:1" x14ac:dyDescent="0.3">
      <c r="A271" s="176">
        <f t="shared" si="5"/>
        <v>0</v>
      </c>
    </row>
    <row r="272" spans="1:1" x14ac:dyDescent="0.3">
      <c r="A272" s="176">
        <f t="shared" si="5"/>
        <v>0</v>
      </c>
    </row>
    <row r="273" spans="1:1" x14ac:dyDescent="0.3">
      <c r="A273" s="176">
        <f t="shared" si="5"/>
        <v>0</v>
      </c>
    </row>
    <row r="274" spans="1:1" x14ac:dyDescent="0.3">
      <c r="A274" s="176">
        <f t="shared" si="5"/>
        <v>0</v>
      </c>
    </row>
    <row r="275" spans="1:1" x14ac:dyDescent="0.3">
      <c r="A275" s="176">
        <f t="shared" si="5"/>
        <v>0</v>
      </c>
    </row>
    <row r="276" spans="1:1" x14ac:dyDescent="0.3">
      <c r="A276" s="176">
        <f t="shared" si="5"/>
        <v>0</v>
      </c>
    </row>
    <row r="277" spans="1:1" x14ac:dyDescent="0.3">
      <c r="A277" s="176">
        <f t="shared" si="5"/>
        <v>0</v>
      </c>
    </row>
    <row r="278" spans="1:1" x14ac:dyDescent="0.3">
      <c r="A278" s="176">
        <f t="shared" si="5"/>
        <v>0</v>
      </c>
    </row>
    <row r="279" spans="1:1" x14ac:dyDescent="0.3">
      <c r="A279" s="176">
        <f t="shared" si="5"/>
        <v>0</v>
      </c>
    </row>
    <row r="280" spans="1:1" x14ac:dyDescent="0.3">
      <c r="A280" s="176">
        <f t="shared" si="5"/>
        <v>0</v>
      </c>
    </row>
    <row r="281" spans="1:1" x14ac:dyDescent="0.3">
      <c r="A281" s="176">
        <f t="shared" si="5"/>
        <v>0</v>
      </c>
    </row>
    <row r="282" spans="1:1" x14ac:dyDescent="0.3">
      <c r="A282" s="176">
        <f t="shared" si="5"/>
        <v>0</v>
      </c>
    </row>
    <row r="283" spans="1:1" x14ac:dyDescent="0.3">
      <c r="A283" s="176">
        <f t="shared" si="5"/>
        <v>0</v>
      </c>
    </row>
    <row r="284" spans="1:1" x14ac:dyDescent="0.3">
      <c r="A284" s="176">
        <f t="shared" si="5"/>
        <v>0</v>
      </c>
    </row>
    <row r="285" spans="1:1" x14ac:dyDescent="0.3">
      <c r="A285" s="176">
        <f t="shared" si="5"/>
        <v>0</v>
      </c>
    </row>
    <row r="286" spans="1:1" x14ac:dyDescent="0.3">
      <c r="A286" s="176">
        <f t="shared" si="5"/>
        <v>0</v>
      </c>
    </row>
    <row r="287" spans="1:1" x14ac:dyDescent="0.3">
      <c r="A287" s="176">
        <f t="shared" si="5"/>
        <v>0</v>
      </c>
    </row>
    <row r="288" spans="1:1" x14ac:dyDescent="0.3">
      <c r="A288" s="176">
        <f t="shared" si="5"/>
        <v>0</v>
      </c>
    </row>
    <row r="289" spans="1:1" x14ac:dyDescent="0.3">
      <c r="A289" s="176">
        <f t="shared" si="5"/>
        <v>0</v>
      </c>
    </row>
    <row r="290" spans="1:1" x14ac:dyDescent="0.3">
      <c r="A290" s="176">
        <f t="shared" si="5"/>
        <v>0</v>
      </c>
    </row>
    <row r="291" spans="1:1" x14ac:dyDescent="0.3">
      <c r="A291" s="176">
        <f t="shared" si="5"/>
        <v>0</v>
      </c>
    </row>
    <row r="292" spans="1:1" x14ac:dyDescent="0.3">
      <c r="A292" s="176">
        <f t="shared" si="5"/>
        <v>0</v>
      </c>
    </row>
    <row r="293" spans="1:1" x14ac:dyDescent="0.3">
      <c r="A293" s="176">
        <f t="shared" si="5"/>
        <v>0</v>
      </c>
    </row>
    <row r="294" spans="1:1" x14ac:dyDescent="0.3">
      <c r="A294" s="176">
        <f t="shared" si="5"/>
        <v>0</v>
      </c>
    </row>
    <row r="295" spans="1:1" x14ac:dyDescent="0.3">
      <c r="A295" s="176">
        <f t="shared" si="5"/>
        <v>0</v>
      </c>
    </row>
    <row r="296" spans="1:1" x14ac:dyDescent="0.3">
      <c r="A296" s="176">
        <f t="shared" si="5"/>
        <v>0</v>
      </c>
    </row>
    <row r="297" spans="1:1" x14ac:dyDescent="0.3">
      <c r="A297" s="176">
        <f t="shared" si="5"/>
        <v>0</v>
      </c>
    </row>
    <row r="298" spans="1:1" x14ac:dyDescent="0.3">
      <c r="A298" s="176">
        <f t="shared" si="5"/>
        <v>0</v>
      </c>
    </row>
    <row r="299" spans="1:1" x14ac:dyDescent="0.3">
      <c r="A299" s="176">
        <f t="shared" si="5"/>
        <v>0</v>
      </c>
    </row>
    <row r="300" spans="1:1" x14ac:dyDescent="0.3">
      <c r="A300" s="176">
        <f t="shared" si="5"/>
        <v>0</v>
      </c>
    </row>
    <row r="301" spans="1:1" x14ac:dyDescent="0.3">
      <c r="A301" s="176">
        <f t="shared" si="5"/>
        <v>0</v>
      </c>
    </row>
    <row r="302" spans="1:1" x14ac:dyDescent="0.3">
      <c r="A302" s="176">
        <f t="shared" si="5"/>
        <v>0</v>
      </c>
    </row>
    <row r="303" spans="1:1" x14ac:dyDescent="0.3">
      <c r="A303" s="176">
        <f t="shared" si="5"/>
        <v>0</v>
      </c>
    </row>
    <row r="304" spans="1:1" x14ac:dyDescent="0.3">
      <c r="A304" s="176">
        <f t="shared" si="5"/>
        <v>0</v>
      </c>
    </row>
    <row r="305" spans="1:1" x14ac:dyDescent="0.3">
      <c r="A305" s="176">
        <f t="shared" si="5"/>
        <v>0</v>
      </c>
    </row>
    <row r="306" spans="1:1" x14ac:dyDescent="0.3">
      <c r="A306" s="176">
        <f t="shared" si="5"/>
        <v>0</v>
      </c>
    </row>
    <row r="307" spans="1:1" x14ac:dyDescent="0.3">
      <c r="A307" s="176">
        <f t="shared" si="5"/>
        <v>0</v>
      </c>
    </row>
    <row r="308" spans="1:1" x14ac:dyDescent="0.3">
      <c r="A308" s="176">
        <f t="shared" si="5"/>
        <v>0</v>
      </c>
    </row>
    <row r="309" spans="1:1" x14ac:dyDescent="0.3">
      <c r="A309" s="176">
        <f t="shared" si="5"/>
        <v>0</v>
      </c>
    </row>
    <row r="310" spans="1:1" x14ac:dyDescent="0.3">
      <c r="A310" s="176">
        <f t="shared" si="5"/>
        <v>0</v>
      </c>
    </row>
    <row r="311" spans="1:1" x14ac:dyDescent="0.3">
      <c r="A311" s="176">
        <f t="shared" si="5"/>
        <v>0</v>
      </c>
    </row>
    <row r="312" spans="1:1" x14ac:dyDescent="0.3">
      <c r="A312" s="176">
        <f t="shared" si="5"/>
        <v>0</v>
      </c>
    </row>
    <row r="313" spans="1:1" x14ac:dyDescent="0.3">
      <c r="A313" s="176">
        <f t="shared" si="5"/>
        <v>0</v>
      </c>
    </row>
    <row r="314" spans="1:1" x14ac:dyDescent="0.3">
      <c r="A314" s="176">
        <f t="shared" si="5"/>
        <v>0</v>
      </c>
    </row>
    <row r="315" spans="1:1" x14ac:dyDescent="0.3">
      <c r="A315" s="176">
        <f t="shared" si="5"/>
        <v>0</v>
      </c>
    </row>
    <row r="316" spans="1:1" x14ac:dyDescent="0.3">
      <c r="A316" s="176">
        <f t="shared" si="5"/>
        <v>0</v>
      </c>
    </row>
    <row r="317" spans="1:1" x14ac:dyDescent="0.3">
      <c r="A317" s="176">
        <f t="shared" si="5"/>
        <v>0</v>
      </c>
    </row>
    <row r="318" spans="1:1" x14ac:dyDescent="0.3">
      <c r="A318" s="176">
        <f t="shared" si="5"/>
        <v>0</v>
      </c>
    </row>
    <row r="319" spans="1:1" x14ac:dyDescent="0.3">
      <c r="A319" s="176">
        <f t="shared" si="5"/>
        <v>0</v>
      </c>
    </row>
    <row r="320" spans="1:1" x14ac:dyDescent="0.3">
      <c r="A320" s="176">
        <f t="shared" si="5"/>
        <v>0</v>
      </c>
    </row>
    <row r="321" spans="1:1" x14ac:dyDescent="0.3">
      <c r="A321" s="176">
        <f t="shared" si="5"/>
        <v>0</v>
      </c>
    </row>
    <row r="322" spans="1:1" x14ac:dyDescent="0.3">
      <c r="A322" s="176">
        <f t="shared" si="5"/>
        <v>0</v>
      </c>
    </row>
    <row r="323" spans="1:1" x14ac:dyDescent="0.3">
      <c r="A323" s="176">
        <f t="shared" si="5"/>
        <v>0</v>
      </c>
    </row>
    <row r="324" spans="1:1" x14ac:dyDescent="0.3">
      <c r="A324" s="176">
        <f t="shared" si="5"/>
        <v>0</v>
      </c>
    </row>
    <row r="325" spans="1:1" x14ac:dyDescent="0.3">
      <c r="A325" s="176">
        <f t="shared" si="5"/>
        <v>0</v>
      </c>
    </row>
    <row r="326" spans="1:1" x14ac:dyDescent="0.3">
      <c r="A326" s="176">
        <f t="shared" si="5"/>
        <v>0</v>
      </c>
    </row>
    <row r="327" spans="1:1" x14ac:dyDescent="0.3">
      <c r="A327" s="176">
        <f t="shared" si="5"/>
        <v>0</v>
      </c>
    </row>
    <row r="328" spans="1:1" x14ac:dyDescent="0.3">
      <c r="A328" s="176">
        <f t="shared" si="5"/>
        <v>0</v>
      </c>
    </row>
    <row r="329" spans="1:1" x14ac:dyDescent="0.3">
      <c r="A329" s="176">
        <f t="shared" si="5"/>
        <v>0</v>
      </c>
    </row>
    <row r="330" spans="1:1" x14ac:dyDescent="0.3">
      <c r="A330" s="176">
        <f t="shared" si="5"/>
        <v>0</v>
      </c>
    </row>
    <row r="331" spans="1:1" x14ac:dyDescent="0.3">
      <c r="A331" s="176">
        <f t="shared" si="5"/>
        <v>0</v>
      </c>
    </row>
    <row r="332" spans="1:1" x14ac:dyDescent="0.3">
      <c r="A332" s="176">
        <f t="shared" si="5"/>
        <v>0</v>
      </c>
    </row>
    <row r="333" spans="1:1" x14ac:dyDescent="0.3">
      <c r="A333" s="176">
        <f t="shared" ref="A333:A381" si="6">IF(E333="Contract",1,0)</f>
        <v>0</v>
      </c>
    </row>
    <row r="334" spans="1:1" x14ac:dyDescent="0.3">
      <c r="A334" s="176">
        <f t="shared" si="6"/>
        <v>0</v>
      </c>
    </row>
    <row r="335" spans="1:1" x14ac:dyDescent="0.3">
      <c r="A335" s="176">
        <f t="shared" si="6"/>
        <v>0</v>
      </c>
    </row>
    <row r="336" spans="1:1" x14ac:dyDescent="0.3">
      <c r="A336" s="176">
        <f t="shared" si="6"/>
        <v>0</v>
      </c>
    </row>
    <row r="337" spans="1:1" x14ac:dyDescent="0.3">
      <c r="A337" s="176">
        <f t="shared" si="6"/>
        <v>0</v>
      </c>
    </row>
    <row r="338" spans="1:1" x14ac:dyDescent="0.3">
      <c r="A338" s="176">
        <f t="shared" si="6"/>
        <v>0</v>
      </c>
    </row>
    <row r="339" spans="1:1" x14ac:dyDescent="0.3">
      <c r="A339" s="176">
        <f t="shared" si="6"/>
        <v>0</v>
      </c>
    </row>
    <row r="340" spans="1:1" x14ac:dyDescent="0.3">
      <c r="A340" s="176">
        <f t="shared" si="6"/>
        <v>0</v>
      </c>
    </row>
    <row r="341" spans="1:1" x14ac:dyDescent="0.3">
      <c r="A341" s="176">
        <f t="shared" si="6"/>
        <v>0</v>
      </c>
    </row>
    <row r="342" spans="1:1" x14ac:dyDescent="0.3">
      <c r="A342" s="176">
        <f t="shared" si="6"/>
        <v>0</v>
      </c>
    </row>
    <row r="343" spans="1:1" x14ac:dyDescent="0.3">
      <c r="A343" s="176">
        <f t="shared" si="6"/>
        <v>0</v>
      </c>
    </row>
    <row r="344" spans="1:1" x14ac:dyDescent="0.3">
      <c r="A344" s="176">
        <f t="shared" si="6"/>
        <v>0</v>
      </c>
    </row>
    <row r="345" spans="1:1" x14ac:dyDescent="0.3">
      <c r="A345" s="176">
        <f t="shared" si="6"/>
        <v>0</v>
      </c>
    </row>
    <row r="346" spans="1:1" x14ac:dyDescent="0.3">
      <c r="A346" s="176">
        <f t="shared" si="6"/>
        <v>0</v>
      </c>
    </row>
    <row r="347" spans="1:1" x14ac:dyDescent="0.3">
      <c r="A347" s="176">
        <f t="shared" si="6"/>
        <v>0</v>
      </c>
    </row>
    <row r="348" spans="1:1" x14ac:dyDescent="0.3">
      <c r="A348" s="176">
        <f t="shared" si="6"/>
        <v>0</v>
      </c>
    </row>
    <row r="349" spans="1:1" x14ac:dyDescent="0.3">
      <c r="A349" s="176">
        <f t="shared" si="6"/>
        <v>0</v>
      </c>
    </row>
    <row r="350" spans="1:1" x14ac:dyDescent="0.3">
      <c r="A350" s="176">
        <f t="shared" si="6"/>
        <v>0</v>
      </c>
    </row>
    <row r="351" spans="1:1" x14ac:dyDescent="0.3">
      <c r="A351" s="176">
        <f t="shared" si="6"/>
        <v>0</v>
      </c>
    </row>
    <row r="352" spans="1:1" x14ac:dyDescent="0.3">
      <c r="A352" s="176">
        <f t="shared" si="6"/>
        <v>0</v>
      </c>
    </row>
    <row r="353" spans="1:1" x14ac:dyDescent="0.3">
      <c r="A353" s="176">
        <f t="shared" si="6"/>
        <v>0</v>
      </c>
    </row>
    <row r="354" spans="1:1" x14ac:dyDescent="0.3">
      <c r="A354" s="176">
        <f t="shared" si="6"/>
        <v>0</v>
      </c>
    </row>
    <row r="355" spans="1:1" x14ac:dyDescent="0.3">
      <c r="A355" s="176">
        <f t="shared" si="6"/>
        <v>0</v>
      </c>
    </row>
    <row r="356" spans="1:1" x14ac:dyDescent="0.3">
      <c r="A356" s="176">
        <f t="shared" si="6"/>
        <v>0</v>
      </c>
    </row>
    <row r="357" spans="1:1" x14ac:dyDescent="0.3">
      <c r="A357" s="176">
        <f t="shared" si="6"/>
        <v>0</v>
      </c>
    </row>
    <row r="358" spans="1:1" x14ac:dyDescent="0.3">
      <c r="A358" s="176">
        <f t="shared" si="6"/>
        <v>0</v>
      </c>
    </row>
    <row r="359" spans="1:1" x14ac:dyDescent="0.3">
      <c r="A359" s="176">
        <f t="shared" si="6"/>
        <v>0</v>
      </c>
    </row>
    <row r="360" spans="1:1" x14ac:dyDescent="0.3">
      <c r="A360" s="176">
        <f t="shared" si="6"/>
        <v>0</v>
      </c>
    </row>
    <row r="361" spans="1:1" x14ac:dyDescent="0.3">
      <c r="A361" s="176">
        <f t="shared" si="6"/>
        <v>0</v>
      </c>
    </row>
    <row r="362" spans="1:1" x14ac:dyDescent="0.3">
      <c r="A362" s="176">
        <f t="shared" si="6"/>
        <v>0</v>
      </c>
    </row>
    <row r="363" spans="1:1" x14ac:dyDescent="0.3">
      <c r="A363" s="176">
        <f t="shared" si="6"/>
        <v>0</v>
      </c>
    </row>
    <row r="364" spans="1:1" x14ac:dyDescent="0.3">
      <c r="A364" s="176">
        <f t="shared" si="6"/>
        <v>0</v>
      </c>
    </row>
    <row r="365" spans="1:1" x14ac:dyDescent="0.3">
      <c r="A365" s="176">
        <f t="shared" si="6"/>
        <v>0</v>
      </c>
    </row>
    <row r="366" spans="1:1" x14ac:dyDescent="0.3">
      <c r="A366" s="176">
        <f t="shared" si="6"/>
        <v>0</v>
      </c>
    </row>
    <row r="367" spans="1:1" x14ac:dyDescent="0.3">
      <c r="A367" s="176">
        <f t="shared" si="6"/>
        <v>0</v>
      </c>
    </row>
    <row r="368" spans="1:1" x14ac:dyDescent="0.3">
      <c r="A368" s="176">
        <f t="shared" si="6"/>
        <v>0</v>
      </c>
    </row>
    <row r="369" spans="1:1" x14ac:dyDescent="0.3">
      <c r="A369" s="176">
        <f t="shared" si="6"/>
        <v>0</v>
      </c>
    </row>
    <row r="370" spans="1:1" x14ac:dyDescent="0.3">
      <c r="A370" s="176">
        <f t="shared" si="6"/>
        <v>0</v>
      </c>
    </row>
    <row r="371" spans="1:1" x14ac:dyDescent="0.3">
      <c r="A371" s="176">
        <f t="shared" si="6"/>
        <v>0</v>
      </c>
    </row>
    <row r="372" spans="1:1" x14ac:dyDescent="0.3">
      <c r="A372" s="176">
        <f t="shared" si="6"/>
        <v>0</v>
      </c>
    </row>
    <row r="373" spans="1:1" x14ac:dyDescent="0.3">
      <c r="A373" s="176">
        <f t="shared" si="6"/>
        <v>0</v>
      </c>
    </row>
    <row r="374" spans="1:1" x14ac:dyDescent="0.3">
      <c r="A374" s="176">
        <f t="shared" si="6"/>
        <v>0</v>
      </c>
    </row>
    <row r="375" spans="1:1" x14ac:dyDescent="0.3">
      <c r="A375" s="176">
        <f t="shared" si="6"/>
        <v>0</v>
      </c>
    </row>
    <row r="376" spans="1:1" x14ac:dyDescent="0.3">
      <c r="A376" s="176">
        <f t="shared" si="6"/>
        <v>0</v>
      </c>
    </row>
    <row r="377" spans="1:1" x14ac:dyDescent="0.3">
      <c r="A377" s="176">
        <f t="shared" si="6"/>
        <v>0</v>
      </c>
    </row>
    <row r="378" spans="1:1" x14ac:dyDescent="0.3">
      <c r="A378" s="176">
        <f t="shared" si="6"/>
        <v>0</v>
      </c>
    </row>
    <row r="379" spans="1:1" x14ac:dyDescent="0.3">
      <c r="A379" s="176">
        <f t="shared" si="6"/>
        <v>0</v>
      </c>
    </row>
    <row r="380" spans="1:1" x14ac:dyDescent="0.3">
      <c r="A380" s="176">
        <f t="shared" si="6"/>
        <v>0</v>
      </c>
    </row>
    <row r="381" spans="1:1" x14ac:dyDescent="0.3">
      <c r="A381" s="176">
        <f t="shared" si="6"/>
        <v>0</v>
      </c>
    </row>
    <row r="382" spans="1:1" x14ac:dyDescent="0.3">
      <c r="A382" s="176" t="str">
        <f t="shared" ref="A382:A410" si="7">IF(B382="  Total",B382,"")</f>
        <v/>
      </c>
    </row>
    <row r="383" spans="1:1" x14ac:dyDescent="0.3">
      <c r="A383" s="176" t="str">
        <f t="shared" si="7"/>
        <v/>
      </c>
    </row>
    <row r="384" spans="1:1" x14ac:dyDescent="0.3">
      <c r="A384" s="176" t="str">
        <f t="shared" si="7"/>
        <v/>
      </c>
    </row>
    <row r="385" spans="1:1" x14ac:dyDescent="0.3">
      <c r="A385" s="176" t="str">
        <f t="shared" si="7"/>
        <v/>
      </c>
    </row>
    <row r="386" spans="1:1" x14ac:dyDescent="0.3">
      <c r="A386" s="176" t="str">
        <f t="shared" si="7"/>
        <v/>
      </c>
    </row>
    <row r="387" spans="1:1" x14ac:dyDescent="0.3">
      <c r="A387" s="176" t="str">
        <f t="shared" si="7"/>
        <v/>
      </c>
    </row>
    <row r="388" spans="1:1" x14ac:dyDescent="0.3">
      <c r="A388" s="176" t="str">
        <f t="shared" si="7"/>
        <v/>
      </c>
    </row>
    <row r="389" spans="1:1" x14ac:dyDescent="0.3">
      <c r="A389" s="176" t="str">
        <f t="shared" si="7"/>
        <v/>
      </c>
    </row>
    <row r="390" spans="1:1" x14ac:dyDescent="0.3">
      <c r="A390" s="176" t="str">
        <f t="shared" si="7"/>
        <v/>
      </c>
    </row>
    <row r="391" spans="1:1" x14ac:dyDescent="0.3">
      <c r="A391" s="176" t="str">
        <f t="shared" si="7"/>
        <v/>
      </c>
    </row>
    <row r="392" spans="1:1" x14ac:dyDescent="0.3">
      <c r="A392" s="176" t="str">
        <f t="shared" si="7"/>
        <v/>
      </c>
    </row>
    <row r="393" spans="1:1" x14ac:dyDescent="0.3">
      <c r="A393" s="176" t="str">
        <f t="shared" si="7"/>
        <v/>
      </c>
    </row>
    <row r="394" spans="1:1" x14ac:dyDescent="0.3">
      <c r="A394" s="176" t="str">
        <f t="shared" si="7"/>
        <v/>
      </c>
    </row>
    <row r="395" spans="1:1" x14ac:dyDescent="0.3">
      <c r="A395" s="176" t="str">
        <f t="shared" si="7"/>
        <v/>
      </c>
    </row>
    <row r="396" spans="1:1" x14ac:dyDescent="0.3">
      <c r="A396" s="176" t="str">
        <f t="shared" si="7"/>
        <v/>
      </c>
    </row>
    <row r="397" spans="1:1" x14ac:dyDescent="0.3">
      <c r="A397" s="176" t="str">
        <f t="shared" si="7"/>
        <v/>
      </c>
    </row>
    <row r="398" spans="1:1" x14ac:dyDescent="0.3">
      <c r="A398" s="176" t="str">
        <f t="shared" si="7"/>
        <v/>
      </c>
    </row>
    <row r="399" spans="1:1" x14ac:dyDescent="0.3">
      <c r="A399" s="176" t="str">
        <f t="shared" si="7"/>
        <v/>
      </c>
    </row>
    <row r="400" spans="1:1" x14ac:dyDescent="0.3">
      <c r="A400" s="176" t="str">
        <f t="shared" si="7"/>
        <v/>
      </c>
    </row>
    <row r="401" spans="1:1" x14ac:dyDescent="0.3">
      <c r="A401" s="176" t="str">
        <f t="shared" si="7"/>
        <v/>
      </c>
    </row>
    <row r="402" spans="1:1" x14ac:dyDescent="0.3">
      <c r="A402" s="176" t="str">
        <f t="shared" si="7"/>
        <v/>
      </c>
    </row>
    <row r="403" spans="1:1" x14ac:dyDescent="0.3">
      <c r="A403" s="176" t="str">
        <f t="shared" si="7"/>
        <v/>
      </c>
    </row>
    <row r="404" spans="1:1" x14ac:dyDescent="0.3">
      <c r="A404" s="176" t="str">
        <f t="shared" si="7"/>
        <v/>
      </c>
    </row>
    <row r="405" spans="1:1" x14ac:dyDescent="0.3">
      <c r="A405" s="176" t="str">
        <f t="shared" si="7"/>
        <v/>
      </c>
    </row>
    <row r="406" spans="1:1" x14ac:dyDescent="0.3">
      <c r="A406" s="176" t="str">
        <f t="shared" si="7"/>
        <v/>
      </c>
    </row>
    <row r="407" spans="1:1" x14ac:dyDescent="0.3">
      <c r="A407" s="176" t="str">
        <f t="shared" si="7"/>
        <v/>
      </c>
    </row>
    <row r="408" spans="1:1" x14ac:dyDescent="0.3">
      <c r="A408" s="176" t="str">
        <f t="shared" si="7"/>
        <v/>
      </c>
    </row>
    <row r="409" spans="1:1" x14ac:dyDescent="0.3">
      <c r="A409" s="176" t="str">
        <f t="shared" si="7"/>
        <v/>
      </c>
    </row>
    <row r="410" spans="1:1" x14ac:dyDescent="0.3">
      <c r="A410" s="176" t="str">
        <f t="shared" si="7"/>
        <v/>
      </c>
    </row>
    <row r="411" spans="1:1" x14ac:dyDescent="0.3">
      <c r="A411" s="176" t="str">
        <f t="shared" ref="A411:A474" si="8">IF(B411="  Total",B411,"")</f>
        <v/>
      </c>
    </row>
    <row r="412" spans="1:1" x14ac:dyDescent="0.3">
      <c r="A412" s="176" t="str">
        <f t="shared" si="8"/>
        <v/>
      </c>
    </row>
    <row r="413" spans="1:1" x14ac:dyDescent="0.3">
      <c r="A413" s="176" t="str">
        <f t="shared" si="8"/>
        <v/>
      </c>
    </row>
    <row r="414" spans="1:1" x14ac:dyDescent="0.3">
      <c r="A414" s="176" t="str">
        <f t="shared" si="8"/>
        <v/>
      </c>
    </row>
    <row r="415" spans="1:1" x14ac:dyDescent="0.3">
      <c r="A415" s="176" t="str">
        <f t="shared" si="8"/>
        <v/>
      </c>
    </row>
    <row r="416" spans="1:1" x14ac:dyDescent="0.3">
      <c r="A416" s="176" t="str">
        <f t="shared" si="8"/>
        <v/>
      </c>
    </row>
    <row r="417" spans="1:1" x14ac:dyDescent="0.3">
      <c r="A417" s="176" t="str">
        <f t="shared" si="8"/>
        <v/>
      </c>
    </row>
    <row r="418" spans="1:1" x14ac:dyDescent="0.3">
      <c r="A418" s="176" t="str">
        <f t="shared" si="8"/>
        <v/>
      </c>
    </row>
    <row r="419" spans="1:1" x14ac:dyDescent="0.3">
      <c r="A419" s="176" t="str">
        <f t="shared" si="8"/>
        <v/>
      </c>
    </row>
    <row r="420" spans="1:1" x14ac:dyDescent="0.3">
      <c r="A420" s="176" t="str">
        <f t="shared" si="8"/>
        <v/>
      </c>
    </row>
    <row r="421" spans="1:1" x14ac:dyDescent="0.3">
      <c r="A421" s="176" t="str">
        <f t="shared" si="8"/>
        <v/>
      </c>
    </row>
    <row r="422" spans="1:1" x14ac:dyDescent="0.3">
      <c r="A422" s="176" t="str">
        <f t="shared" si="8"/>
        <v/>
      </c>
    </row>
    <row r="423" spans="1:1" x14ac:dyDescent="0.3">
      <c r="A423" s="176" t="str">
        <f t="shared" si="8"/>
        <v/>
      </c>
    </row>
    <row r="424" spans="1:1" x14ac:dyDescent="0.3">
      <c r="A424" s="176" t="str">
        <f t="shared" si="8"/>
        <v/>
      </c>
    </row>
    <row r="425" spans="1:1" x14ac:dyDescent="0.3">
      <c r="A425" s="176" t="str">
        <f t="shared" si="8"/>
        <v/>
      </c>
    </row>
    <row r="426" spans="1:1" x14ac:dyDescent="0.3">
      <c r="A426" s="176" t="str">
        <f t="shared" si="8"/>
        <v/>
      </c>
    </row>
    <row r="427" spans="1:1" x14ac:dyDescent="0.3">
      <c r="A427" s="176" t="str">
        <f t="shared" si="8"/>
        <v/>
      </c>
    </row>
    <row r="428" spans="1:1" x14ac:dyDescent="0.3">
      <c r="A428" s="176" t="str">
        <f t="shared" si="8"/>
        <v/>
      </c>
    </row>
    <row r="429" spans="1:1" x14ac:dyDescent="0.3">
      <c r="A429" s="176" t="str">
        <f t="shared" si="8"/>
        <v/>
      </c>
    </row>
    <row r="430" spans="1:1" x14ac:dyDescent="0.3">
      <c r="A430" s="176" t="str">
        <f t="shared" si="8"/>
        <v/>
      </c>
    </row>
    <row r="431" spans="1:1" x14ac:dyDescent="0.3">
      <c r="A431" s="176" t="str">
        <f t="shared" si="8"/>
        <v/>
      </c>
    </row>
    <row r="432" spans="1:1" x14ac:dyDescent="0.3">
      <c r="A432" s="176" t="str">
        <f t="shared" si="8"/>
        <v/>
      </c>
    </row>
    <row r="433" spans="1:1" x14ac:dyDescent="0.3">
      <c r="A433" s="176" t="str">
        <f t="shared" si="8"/>
        <v/>
      </c>
    </row>
    <row r="434" spans="1:1" x14ac:dyDescent="0.3">
      <c r="A434" s="176" t="str">
        <f t="shared" si="8"/>
        <v/>
      </c>
    </row>
    <row r="435" spans="1:1" x14ac:dyDescent="0.3">
      <c r="A435" s="176" t="str">
        <f t="shared" si="8"/>
        <v/>
      </c>
    </row>
    <row r="436" spans="1:1" x14ac:dyDescent="0.3">
      <c r="A436" s="176" t="str">
        <f t="shared" si="8"/>
        <v/>
      </c>
    </row>
    <row r="437" spans="1:1" x14ac:dyDescent="0.3">
      <c r="A437" s="176" t="str">
        <f t="shared" si="8"/>
        <v/>
      </c>
    </row>
    <row r="438" spans="1:1" x14ac:dyDescent="0.3">
      <c r="A438" s="176" t="str">
        <f t="shared" si="8"/>
        <v/>
      </c>
    </row>
    <row r="439" spans="1:1" x14ac:dyDescent="0.3">
      <c r="A439" s="176" t="str">
        <f t="shared" si="8"/>
        <v/>
      </c>
    </row>
    <row r="440" spans="1:1" x14ac:dyDescent="0.3">
      <c r="A440" s="176" t="str">
        <f t="shared" si="8"/>
        <v/>
      </c>
    </row>
    <row r="441" spans="1:1" x14ac:dyDescent="0.3">
      <c r="A441" s="176" t="str">
        <f t="shared" si="8"/>
        <v/>
      </c>
    </row>
    <row r="442" spans="1:1" x14ac:dyDescent="0.3">
      <c r="A442" s="176" t="str">
        <f t="shared" si="8"/>
        <v/>
      </c>
    </row>
    <row r="443" spans="1:1" x14ac:dyDescent="0.3">
      <c r="A443" s="176" t="str">
        <f t="shared" si="8"/>
        <v/>
      </c>
    </row>
    <row r="444" spans="1:1" x14ac:dyDescent="0.3">
      <c r="A444" s="176" t="str">
        <f t="shared" si="8"/>
        <v/>
      </c>
    </row>
    <row r="445" spans="1:1" x14ac:dyDescent="0.3">
      <c r="A445" s="176" t="str">
        <f t="shared" si="8"/>
        <v/>
      </c>
    </row>
    <row r="446" spans="1:1" x14ac:dyDescent="0.3">
      <c r="A446" s="176" t="str">
        <f t="shared" si="8"/>
        <v/>
      </c>
    </row>
    <row r="447" spans="1:1" x14ac:dyDescent="0.3">
      <c r="A447" s="176" t="str">
        <f t="shared" si="8"/>
        <v/>
      </c>
    </row>
    <row r="448" spans="1:1" x14ac:dyDescent="0.3">
      <c r="A448" s="176" t="str">
        <f t="shared" si="8"/>
        <v/>
      </c>
    </row>
    <row r="449" spans="1:1" x14ac:dyDescent="0.3">
      <c r="A449" s="176" t="str">
        <f t="shared" si="8"/>
        <v/>
      </c>
    </row>
    <row r="450" spans="1:1" x14ac:dyDescent="0.3">
      <c r="A450" s="176" t="str">
        <f t="shared" si="8"/>
        <v/>
      </c>
    </row>
    <row r="451" spans="1:1" x14ac:dyDescent="0.3">
      <c r="A451" s="176" t="str">
        <f t="shared" si="8"/>
        <v/>
      </c>
    </row>
    <row r="452" spans="1:1" x14ac:dyDescent="0.3">
      <c r="A452" s="176" t="str">
        <f t="shared" si="8"/>
        <v/>
      </c>
    </row>
    <row r="453" spans="1:1" x14ac:dyDescent="0.3">
      <c r="A453" s="176" t="str">
        <f t="shared" si="8"/>
        <v/>
      </c>
    </row>
    <row r="454" spans="1:1" x14ac:dyDescent="0.3">
      <c r="A454" s="176" t="str">
        <f t="shared" si="8"/>
        <v/>
      </c>
    </row>
    <row r="455" spans="1:1" x14ac:dyDescent="0.3">
      <c r="A455" s="176" t="str">
        <f t="shared" si="8"/>
        <v/>
      </c>
    </row>
    <row r="456" spans="1:1" x14ac:dyDescent="0.3">
      <c r="A456" s="176" t="str">
        <f t="shared" si="8"/>
        <v/>
      </c>
    </row>
    <row r="457" spans="1:1" x14ac:dyDescent="0.3">
      <c r="A457" s="176" t="str">
        <f t="shared" si="8"/>
        <v/>
      </c>
    </row>
    <row r="458" spans="1:1" x14ac:dyDescent="0.3">
      <c r="A458" s="176" t="str">
        <f t="shared" si="8"/>
        <v/>
      </c>
    </row>
    <row r="459" spans="1:1" x14ac:dyDescent="0.3">
      <c r="A459" s="176" t="str">
        <f t="shared" si="8"/>
        <v/>
      </c>
    </row>
    <row r="460" spans="1:1" x14ac:dyDescent="0.3">
      <c r="A460" s="176" t="str">
        <f t="shared" si="8"/>
        <v/>
      </c>
    </row>
    <row r="461" spans="1:1" x14ac:dyDescent="0.3">
      <c r="A461" s="176" t="str">
        <f t="shared" si="8"/>
        <v/>
      </c>
    </row>
    <row r="462" spans="1:1" x14ac:dyDescent="0.3">
      <c r="A462" s="176" t="str">
        <f t="shared" si="8"/>
        <v/>
      </c>
    </row>
    <row r="463" spans="1:1" x14ac:dyDescent="0.3">
      <c r="A463" s="176" t="str">
        <f t="shared" si="8"/>
        <v/>
      </c>
    </row>
    <row r="464" spans="1:1" x14ac:dyDescent="0.3">
      <c r="A464" s="176" t="str">
        <f t="shared" si="8"/>
        <v/>
      </c>
    </row>
    <row r="465" spans="1:1" x14ac:dyDescent="0.3">
      <c r="A465" s="176" t="str">
        <f t="shared" si="8"/>
        <v/>
      </c>
    </row>
    <row r="466" spans="1:1" x14ac:dyDescent="0.3">
      <c r="A466" s="176" t="str">
        <f t="shared" si="8"/>
        <v/>
      </c>
    </row>
    <row r="467" spans="1:1" x14ac:dyDescent="0.3">
      <c r="A467" s="176" t="str">
        <f t="shared" si="8"/>
        <v/>
      </c>
    </row>
    <row r="468" spans="1:1" x14ac:dyDescent="0.3">
      <c r="A468" s="176" t="str">
        <f t="shared" si="8"/>
        <v/>
      </c>
    </row>
    <row r="469" spans="1:1" x14ac:dyDescent="0.3">
      <c r="A469" s="176" t="str">
        <f t="shared" si="8"/>
        <v/>
      </c>
    </row>
    <row r="470" spans="1:1" x14ac:dyDescent="0.3">
      <c r="A470" s="176" t="str">
        <f t="shared" si="8"/>
        <v/>
      </c>
    </row>
    <row r="471" spans="1:1" x14ac:dyDescent="0.3">
      <c r="A471" s="176" t="str">
        <f t="shared" si="8"/>
        <v/>
      </c>
    </row>
    <row r="472" spans="1:1" x14ac:dyDescent="0.3">
      <c r="A472" s="176" t="str">
        <f t="shared" si="8"/>
        <v/>
      </c>
    </row>
    <row r="473" spans="1:1" x14ac:dyDescent="0.3">
      <c r="A473" s="176" t="str">
        <f t="shared" si="8"/>
        <v/>
      </c>
    </row>
    <row r="474" spans="1:1" x14ac:dyDescent="0.3">
      <c r="A474" s="176" t="str">
        <f t="shared" si="8"/>
        <v/>
      </c>
    </row>
    <row r="475" spans="1:1" x14ac:dyDescent="0.3">
      <c r="A475" s="176" t="str">
        <f t="shared" ref="A475:A538" si="9">IF(B475="  Total",B475,"")</f>
        <v/>
      </c>
    </row>
    <row r="476" spans="1:1" x14ac:dyDescent="0.3">
      <c r="A476" s="176" t="str">
        <f t="shared" si="9"/>
        <v/>
      </c>
    </row>
    <row r="477" spans="1:1" x14ac:dyDescent="0.3">
      <c r="A477" s="176" t="str">
        <f t="shared" si="9"/>
        <v/>
      </c>
    </row>
    <row r="478" spans="1:1" x14ac:dyDescent="0.3">
      <c r="A478" s="176" t="str">
        <f t="shared" si="9"/>
        <v/>
      </c>
    </row>
    <row r="479" spans="1:1" x14ac:dyDescent="0.3">
      <c r="A479" s="176" t="str">
        <f t="shared" si="9"/>
        <v/>
      </c>
    </row>
    <row r="480" spans="1:1" x14ac:dyDescent="0.3">
      <c r="A480" s="176" t="str">
        <f t="shared" si="9"/>
        <v/>
      </c>
    </row>
    <row r="481" spans="1:1" x14ac:dyDescent="0.3">
      <c r="A481" s="176" t="str">
        <f t="shared" si="9"/>
        <v/>
      </c>
    </row>
    <row r="482" spans="1:1" x14ac:dyDescent="0.3">
      <c r="A482" s="176" t="str">
        <f t="shared" si="9"/>
        <v/>
      </c>
    </row>
    <row r="483" spans="1:1" x14ac:dyDescent="0.3">
      <c r="A483" s="176" t="str">
        <f t="shared" si="9"/>
        <v/>
      </c>
    </row>
    <row r="484" spans="1:1" x14ac:dyDescent="0.3">
      <c r="A484" s="176" t="str">
        <f t="shared" si="9"/>
        <v/>
      </c>
    </row>
    <row r="485" spans="1:1" x14ac:dyDescent="0.3">
      <c r="A485" s="176" t="str">
        <f t="shared" si="9"/>
        <v/>
      </c>
    </row>
    <row r="486" spans="1:1" x14ac:dyDescent="0.3">
      <c r="A486" s="176" t="str">
        <f t="shared" si="9"/>
        <v/>
      </c>
    </row>
    <row r="487" spans="1:1" x14ac:dyDescent="0.3">
      <c r="A487" s="176" t="str">
        <f t="shared" si="9"/>
        <v/>
      </c>
    </row>
    <row r="488" spans="1:1" x14ac:dyDescent="0.3">
      <c r="A488" s="176" t="str">
        <f t="shared" si="9"/>
        <v/>
      </c>
    </row>
    <row r="489" spans="1:1" x14ac:dyDescent="0.3">
      <c r="A489" s="176" t="str">
        <f t="shared" si="9"/>
        <v/>
      </c>
    </row>
    <row r="490" spans="1:1" x14ac:dyDescent="0.3">
      <c r="A490" s="176" t="str">
        <f t="shared" si="9"/>
        <v/>
      </c>
    </row>
    <row r="491" spans="1:1" x14ac:dyDescent="0.3">
      <c r="A491" s="176" t="str">
        <f t="shared" si="9"/>
        <v/>
      </c>
    </row>
    <row r="492" spans="1:1" x14ac:dyDescent="0.3">
      <c r="A492" s="176" t="str">
        <f t="shared" si="9"/>
        <v/>
      </c>
    </row>
    <row r="493" spans="1:1" x14ac:dyDescent="0.3">
      <c r="A493" s="176" t="str">
        <f t="shared" si="9"/>
        <v/>
      </c>
    </row>
    <row r="494" spans="1:1" x14ac:dyDescent="0.3">
      <c r="A494" s="176" t="str">
        <f t="shared" si="9"/>
        <v/>
      </c>
    </row>
    <row r="495" spans="1:1" x14ac:dyDescent="0.3">
      <c r="A495" s="176" t="str">
        <f t="shared" si="9"/>
        <v/>
      </c>
    </row>
    <row r="496" spans="1:1" x14ac:dyDescent="0.3">
      <c r="A496" s="176" t="str">
        <f t="shared" si="9"/>
        <v/>
      </c>
    </row>
    <row r="497" spans="1:1" x14ac:dyDescent="0.3">
      <c r="A497" s="176" t="str">
        <f t="shared" si="9"/>
        <v/>
      </c>
    </row>
    <row r="498" spans="1:1" x14ac:dyDescent="0.3">
      <c r="A498" s="176" t="str">
        <f t="shared" si="9"/>
        <v/>
      </c>
    </row>
    <row r="499" spans="1:1" x14ac:dyDescent="0.3">
      <c r="A499" s="176" t="str">
        <f t="shared" si="9"/>
        <v/>
      </c>
    </row>
    <row r="500" spans="1:1" x14ac:dyDescent="0.3">
      <c r="A500" s="176" t="str">
        <f t="shared" si="9"/>
        <v/>
      </c>
    </row>
    <row r="501" spans="1:1" x14ac:dyDescent="0.3">
      <c r="A501" s="176" t="str">
        <f t="shared" si="9"/>
        <v/>
      </c>
    </row>
    <row r="502" spans="1:1" x14ac:dyDescent="0.3">
      <c r="A502" s="176" t="str">
        <f t="shared" si="9"/>
        <v/>
      </c>
    </row>
    <row r="503" spans="1:1" x14ac:dyDescent="0.3">
      <c r="A503" s="176" t="str">
        <f t="shared" si="9"/>
        <v/>
      </c>
    </row>
    <row r="504" spans="1:1" x14ac:dyDescent="0.3">
      <c r="A504" s="176" t="str">
        <f t="shared" si="9"/>
        <v/>
      </c>
    </row>
    <row r="505" spans="1:1" x14ac:dyDescent="0.3">
      <c r="A505" s="176" t="str">
        <f t="shared" si="9"/>
        <v/>
      </c>
    </row>
    <row r="506" spans="1:1" x14ac:dyDescent="0.3">
      <c r="A506" s="176" t="str">
        <f t="shared" si="9"/>
        <v/>
      </c>
    </row>
    <row r="507" spans="1:1" x14ac:dyDescent="0.3">
      <c r="A507" s="176" t="str">
        <f t="shared" si="9"/>
        <v/>
      </c>
    </row>
    <row r="508" spans="1:1" x14ac:dyDescent="0.3">
      <c r="A508" s="176" t="str">
        <f t="shared" si="9"/>
        <v/>
      </c>
    </row>
    <row r="509" spans="1:1" x14ac:dyDescent="0.3">
      <c r="A509" s="176" t="str">
        <f t="shared" si="9"/>
        <v/>
      </c>
    </row>
    <row r="510" spans="1:1" x14ac:dyDescent="0.3">
      <c r="A510" s="176" t="str">
        <f t="shared" si="9"/>
        <v/>
      </c>
    </row>
    <row r="511" spans="1:1" x14ac:dyDescent="0.3">
      <c r="A511" s="176" t="str">
        <f t="shared" si="9"/>
        <v/>
      </c>
    </row>
    <row r="512" spans="1:1" x14ac:dyDescent="0.3">
      <c r="A512" s="176" t="str">
        <f t="shared" si="9"/>
        <v/>
      </c>
    </row>
    <row r="513" spans="1:1" x14ac:dyDescent="0.3">
      <c r="A513" s="176" t="str">
        <f t="shared" si="9"/>
        <v/>
      </c>
    </row>
    <row r="514" spans="1:1" x14ac:dyDescent="0.3">
      <c r="A514" s="176" t="str">
        <f t="shared" si="9"/>
        <v/>
      </c>
    </row>
    <row r="515" spans="1:1" x14ac:dyDescent="0.3">
      <c r="A515" s="176" t="str">
        <f t="shared" si="9"/>
        <v/>
      </c>
    </row>
    <row r="516" spans="1:1" x14ac:dyDescent="0.3">
      <c r="A516" s="176" t="str">
        <f t="shared" si="9"/>
        <v/>
      </c>
    </row>
    <row r="517" spans="1:1" x14ac:dyDescent="0.3">
      <c r="A517" s="176" t="str">
        <f t="shared" si="9"/>
        <v/>
      </c>
    </row>
    <row r="518" spans="1:1" x14ac:dyDescent="0.3">
      <c r="A518" s="176" t="str">
        <f t="shared" si="9"/>
        <v/>
      </c>
    </row>
    <row r="519" spans="1:1" x14ac:dyDescent="0.3">
      <c r="A519" s="176" t="str">
        <f t="shared" si="9"/>
        <v/>
      </c>
    </row>
    <row r="520" spans="1:1" x14ac:dyDescent="0.3">
      <c r="A520" s="176" t="str">
        <f t="shared" si="9"/>
        <v/>
      </c>
    </row>
    <row r="521" spans="1:1" x14ac:dyDescent="0.3">
      <c r="A521" s="176" t="str">
        <f t="shared" si="9"/>
        <v/>
      </c>
    </row>
    <row r="522" spans="1:1" x14ac:dyDescent="0.3">
      <c r="A522" s="176" t="str">
        <f t="shared" si="9"/>
        <v/>
      </c>
    </row>
    <row r="523" spans="1:1" x14ac:dyDescent="0.3">
      <c r="A523" s="176" t="str">
        <f t="shared" si="9"/>
        <v/>
      </c>
    </row>
    <row r="524" spans="1:1" x14ac:dyDescent="0.3">
      <c r="A524" s="176" t="str">
        <f t="shared" si="9"/>
        <v/>
      </c>
    </row>
    <row r="525" spans="1:1" x14ac:dyDescent="0.3">
      <c r="A525" s="176" t="str">
        <f t="shared" si="9"/>
        <v/>
      </c>
    </row>
    <row r="526" spans="1:1" x14ac:dyDescent="0.3">
      <c r="A526" s="176" t="str">
        <f t="shared" si="9"/>
        <v/>
      </c>
    </row>
    <row r="527" spans="1:1" x14ac:dyDescent="0.3">
      <c r="A527" s="176" t="str">
        <f t="shared" si="9"/>
        <v/>
      </c>
    </row>
    <row r="528" spans="1:1" x14ac:dyDescent="0.3">
      <c r="A528" s="176" t="str">
        <f t="shared" si="9"/>
        <v/>
      </c>
    </row>
    <row r="529" spans="1:1" x14ac:dyDescent="0.3">
      <c r="A529" s="176" t="str">
        <f t="shared" si="9"/>
        <v/>
      </c>
    </row>
    <row r="530" spans="1:1" x14ac:dyDescent="0.3">
      <c r="A530" s="176" t="str">
        <f t="shared" si="9"/>
        <v/>
      </c>
    </row>
    <row r="531" spans="1:1" x14ac:dyDescent="0.3">
      <c r="A531" s="176" t="str">
        <f t="shared" si="9"/>
        <v/>
      </c>
    </row>
    <row r="532" spans="1:1" x14ac:dyDescent="0.3">
      <c r="A532" s="176" t="str">
        <f t="shared" si="9"/>
        <v/>
      </c>
    </row>
    <row r="533" spans="1:1" x14ac:dyDescent="0.3">
      <c r="A533" s="176" t="str">
        <f t="shared" si="9"/>
        <v/>
      </c>
    </row>
    <row r="534" spans="1:1" x14ac:dyDescent="0.3">
      <c r="A534" s="176" t="str">
        <f t="shared" si="9"/>
        <v/>
      </c>
    </row>
    <row r="535" spans="1:1" x14ac:dyDescent="0.3">
      <c r="A535" s="176" t="str">
        <f t="shared" si="9"/>
        <v/>
      </c>
    </row>
    <row r="536" spans="1:1" x14ac:dyDescent="0.3">
      <c r="A536" s="176" t="str">
        <f t="shared" si="9"/>
        <v/>
      </c>
    </row>
    <row r="537" spans="1:1" x14ac:dyDescent="0.3">
      <c r="A537" s="176" t="str">
        <f t="shared" si="9"/>
        <v/>
      </c>
    </row>
    <row r="538" spans="1:1" x14ac:dyDescent="0.3">
      <c r="A538" s="176" t="str">
        <f t="shared" si="9"/>
        <v/>
      </c>
    </row>
    <row r="539" spans="1:1" x14ac:dyDescent="0.3">
      <c r="A539" s="176" t="str">
        <f t="shared" ref="A539:A602" si="10">IF(B539="  Total",B539,"")</f>
        <v/>
      </c>
    </row>
    <row r="540" spans="1:1" x14ac:dyDescent="0.3">
      <c r="A540" s="176" t="str">
        <f t="shared" si="10"/>
        <v/>
      </c>
    </row>
    <row r="541" spans="1:1" x14ac:dyDescent="0.3">
      <c r="A541" s="176" t="str">
        <f t="shared" si="10"/>
        <v/>
      </c>
    </row>
    <row r="542" spans="1:1" x14ac:dyDescent="0.3">
      <c r="A542" s="176" t="str">
        <f t="shared" si="10"/>
        <v/>
      </c>
    </row>
    <row r="543" spans="1:1" x14ac:dyDescent="0.3">
      <c r="A543" s="176" t="str">
        <f t="shared" si="10"/>
        <v/>
      </c>
    </row>
    <row r="544" spans="1:1" x14ac:dyDescent="0.3">
      <c r="A544" s="176" t="str">
        <f t="shared" si="10"/>
        <v/>
      </c>
    </row>
    <row r="545" spans="1:1" x14ac:dyDescent="0.3">
      <c r="A545" s="176" t="str">
        <f t="shared" si="10"/>
        <v/>
      </c>
    </row>
    <row r="546" spans="1:1" x14ac:dyDescent="0.3">
      <c r="A546" s="176" t="str">
        <f t="shared" si="10"/>
        <v/>
      </c>
    </row>
    <row r="547" spans="1:1" x14ac:dyDescent="0.3">
      <c r="A547" s="176" t="str">
        <f t="shared" si="10"/>
        <v/>
      </c>
    </row>
    <row r="548" spans="1:1" x14ac:dyDescent="0.3">
      <c r="A548" s="176" t="str">
        <f t="shared" si="10"/>
        <v/>
      </c>
    </row>
    <row r="549" spans="1:1" x14ac:dyDescent="0.3">
      <c r="A549" s="176" t="str">
        <f t="shared" si="10"/>
        <v/>
      </c>
    </row>
    <row r="550" spans="1:1" x14ac:dyDescent="0.3">
      <c r="A550" s="176" t="str">
        <f t="shared" si="10"/>
        <v/>
      </c>
    </row>
    <row r="551" spans="1:1" x14ac:dyDescent="0.3">
      <c r="A551" s="176" t="str">
        <f t="shared" si="10"/>
        <v/>
      </c>
    </row>
    <row r="552" spans="1:1" x14ac:dyDescent="0.3">
      <c r="A552" s="176" t="str">
        <f t="shared" si="10"/>
        <v/>
      </c>
    </row>
    <row r="553" spans="1:1" x14ac:dyDescent="0.3">
      <c r="A553" s="176" t="str">
        <f t="shared" si="10"/>
        <v/>
      </c>
    </row>
    <row r="554" spans="1:1" x14ac:dyDescent="0.3">
      <c r="A554" s="176" t="str">
        <f t="shared" si="10"/>
        <v/>
      </c>
    </row>
    <row r="555" spans="1:1" x14ac:dyDescent="0.3">
      <c r="A555" s="176" t="str">
        <f t="shared" si="10"/>
        <v/>
      </c>
    </row>
    <row r="556" spans="1:1" x14ac:dyDescent="0.3">
      <c r="A556" s="176" t="str">
        <f t="shared" si="10"/>
        <v/>
      </c>
    </row>
    <row r="557" spans="1:1" x14ac:dyDescent="0.3">
      <c r="A557" s="176" t="str">
        <f t="shared" si="10"/>
        <v/>
      </c>
    </row>
    <row r="558" spans="1:1" x14ac:dyDescent="0.3">
      <c r="A558" s="176" t="str">
        <f t="shared" si="10"/>
        <v/>
      </c>
    </row>
    <row r="559" spans="1:1" x14ac:dyDescent="0.3">
      <c r="A559" s="176" t="str">
        <f t="shared" si="10"/>
        <v/>
      </c>
    </row>
    <row r="560" spans="1:1" x14ac:dyDescent="0.3">
      <c r="A560" s="176" t="str">
        <f t="shared" si="10"/>
        <v/>
      </c>
    </row>
    <row r="561" spans="1:1" x14ac:dyDescent="0.3">
      <c r="A561" s="176" t="str">
        <f t="shared" si="10"/>
        <v/>
      </c>
    </row>
    <row r="562" spans="1:1" x14ac:dyDescent="0.3">
      <c r="A562" s="176" t="str">
        <f t="shared" si="10"/>
        <v/>
      </c>
    </row>
    <row r="563" spans="1:1" x14ac:dyDescent="0.3">
      <c r="A563" s="176" t="str">
        <f t="shared" si="10"/>
        <v/>
      </c>
    </row>
    <row r="564" spans="1:1" x14ac:dyDescent="0.3">
      <c r="A564" s="176" t="str">
        <f t="shared" si="10"/>
        <v/>
      </c>
    </row>
    <row r="565" spans="1:1" x14ac:dyDescent="0.3">
      <c r="A565" s="176" t="str">
        <f t="shared" si="10"/>
        <v/>
      </c>
    </row>
    <row r="566" spans="1:1" x14ac:dyDescent="0.3">
      <c r="A566" s="176" t="str">
        <f t="shared" si="10"/>
        <v/>
      </c>
    </row>
    <row r="567" spans="1:1" x14ac:dyDescent="0.3">
      <c r="A567" s="176" t="str">
        <f t="shared" si="10"/>
        <v/>
      </c>
    </row>
    <row r="568" spans="1:1" x14ac:dyDescent="0.3">
      <c r="A568" s="176" t="str">
        <f t="shared" si="10"/>
        <v/>
      </c>
    </row>
    <row r="569" spans="1:1" x14ac:dyDescent="0.3">
      <c r="A569" s="176" t="str">
        <f t="shared" si="10"/>
        <v/>
      </c>
    </row>
    <row r="570" spans="1:1" x14ac:dyDescent="0.3">
      <c r="A570" s="176" t="str">
        <f t="shared" si="10"/>
        <v/>
      </c>
    </row>
    <row r="571" spans="1:1" x14ac:dyDescent="0.3">
      <c r="A571" s="176" t="str">
        <f t="shared" si="10"/>
        <v/>
      </c>
    </row>
    <row r="572" spans="1:1" x14ac:dyDescent="0.3">
      <c r="A572" s="176" t="str">
        <f t="shared" si="10"/>
        <v/>
      </c>
    </row>
    <row r="573" spans="1:1" x14ac:dyDescent="0.3">
      <c r="A573" s="176" t="str">
        <f t="shared" si="10"/>
        <v/>
      </c>
    </row>
    <row r="574" spans="1:1" x14ac:dyDescent="0.3">
      <c r="A574" s="176" t="str">
        <f t="shared" si="10"/>
        <v/>
      </c>
    </row>
    <row r="575" spans="1:1" x14ac:dyDescent="0.3">
      <c r="A575" s="176" t="str">
        <f t="shared" si="10"/>
        <v/>
      </c>
    </row>
    <row r="576" spans="1:1" x14ac:dyDescent="0.3">
      <c r="A576" s="176" t="str">
        <f t="shared" si="10"/>
        <v/>
      </c>
    </row>
    <row r="577" spans="1:1" x14ac:dyDescent="0.3">
      <c r="A577" s="176" t="str">
        <f t="shared" si="10"/>
        <v/>
      </c>
    </row>
    <row r="578" spans="1:1" x14ac:dyDescent="0.3">
      <c r="A578" s="176" t="str">
        <f t="shared" si="10"/>
        <v/>
      </c>
    </row>
    <row r="579" spans="1:1" x14ac:dyDescent="0.3">
      <c r="A579" s="176" t="str">
        <f t="shared" si="10"/>
        <v/>
      </c>
    </row>
    <row r="580" spans="1:1" x14ac:dyDescent="0.3">
      <c r="A580" s="176" t="str">
        <f t="shared" si="10"/>
        <v/>
      </c>
    </row>
    <row r="581" spans="1:1" x14ac:dyDescent="0.3">
      <c r="A581" s="176" t="str">
        <f t="shared" si="10"/>
        <v/>
      </c>
    </row>
    <row r="582" spans="1:1" x14ac:dyDescent="0.3">
      <c r="A582" s="176" t="str">
        <f t="shared" si="10"/>
        <v/>
      </c>
    </row>
    <row r="583" spans="1:1" x14ac:dyDescent="0.3">
      <c r="A583" s="176" t="str">
        <f t="shared" si="10"/>
        <v/>
      </c>
    </row>
    <row r="584" spans="1:1" x14ac:dyDescent="0.3">
      <c r="A584" s="176" t="str">
        <f t="shared" si="10"/>
        <v/>
      </c>
    </row>
    <row r="585" spans="1:1" x14ac:dyDescent="0.3">
      <c r="A585" s="176" t="str">
        <f t="shared" si="10"/>
        <v/>
      </c>
    </row>
    <row r="586" spans="1:1" x14ac:dyDescent="0.3">
      <c r="A586" s="176" t="str">
        <f t="shared" si="10"/>
        <v/>
      </c>
    </row>
    <row r="587" spans="1:1" x14ac:dyDescent="0.3">
      <c r="A587" s="176" t="str">
        <f t="shared" si="10"/>
        <v/>
      </c>
    </row>
    <row r="588" spans="1:1" x14ac:dyDescent="0.3">
      <c r="A588" s="176" t="str">
        <f t="shared" si="10"/>
        <v/>
      </c>
    </row>
    <row r="589" spans="1:1" x14ac:dyDescent="0.3">
      <c r="A589" s="176" t="str">
        <f t="shared" si="10"/>
        <v/>
      </c>
    </row>
    <row r="590" spans="1:1" x14ac:dyDescent="0.3">
      <c r="A590" s="176" t="str">
        <f t="shared" si="10"/>
        <v/>
      </c>
    </row>
    <row r="591" spans="1:1" x14ac:dyDescent="0.3">
      <c r="A591" s="176" t="str">
        <f t="shared" si="10"/>
        <v/>
      </c>
    </row>
    <row r="592" spans="1:1" x14ac:dyDescent="0.3">
      <c r="A592" s="176" t="str">
        <f t="shared" si="10"/>
        <v/>
      </c>
    </row>
    <row r="593" spans="1:1" x14ac:dyDescent="0.3">
      <c r="A593" s="176" t="str">
        <f t="shared" si="10"/>
        <v/>
      </c>
    </row>
    <row r="594" spans="1:1" x14ac:dyDescent="0.3">
      <c r="A594" s="176" t="str">
        <f t="shared" si="10"/>
        <v/>
      </c>
    </row>
    <row r="595" spans="1:1" x14ac:dyDescent="0.3">
      <c r="A595" s="176" t="str">
        <f t="shared" si="10"/>
        <v/>
      </c>
    </row>
    <row r="596" spans="1:1" x14ac:dyDescent="0.3">
      <c r="A596" s="176" t="str">
        <f t="shared" si="10"/>
        <v/>
      </c>
    </row>
    <row r="597" spans="1:1" x14ac:dyDescent="0.3">
      <c r="A597" s="176" t="str">
        <f t="shared" si="10"/>
        <v/>
      </c>
    </row>
    <row r="598" spans="1:1" x14ac:dyDescent="0.3">
      <c r="A598" s="176" t="str">
        <f t="shared" si="10"/>
        <v/>
      </c>
    </row>
    <row r="599" spans="1:1" x14ac:dyDescent="0.3">
      <c r="A599" s="176" t="str">
        <f t="shared" si="10"/>
        <v/>
      </c>
    </row>
    <row r="600" spans="1:1" x14ac:dyDescent="0.3">
      <c r="A600" s="176" t="str">
        <f t="shared" si="10"/>
        <v/>
      </c>
    </row>
    <row r="601" spans="1:1" x14ac:dyDescent="0.3">
      <c r="A601" s="176" t="str">
        <f t="shared" si="10"/>
        <v/>
      </c>
    </row>
    <row r="602" spans="1:1" x14ac:dyDescent="0.3">
      <c r="A602" s="176" t="str">
        <f t="shared" si="10"/>
        <v/>
      </c>
    </row>
    <row r="603" spans="1:1" x14ac:dyDescent="0.3">
      <c r="A603" s="176" t="str">
        <f t="shared" ref="A603:A666" si="11">IF(B603="  Total",B603,"")</f>
        <v/>
      </c>
    </row>
    <row r="604" spans="1:1" x14ac:dyDescent="0.3">
      <c r="A604" s="176" t="str">
        <f t="shared" si="11"/>
        <v/>
      </c>
    </row>
    <row r="605" spans="1:1" x14ac:dyDescent="0.3">
      <c r="A605" s="176" t="str">
        <f t="shared" si="11"/>
        <v/>
      </c>
    </row>
    <row r="606" spans="1:1" x14ac:dyDescent="0.3">
      <c r="A606" s="176" t="str">
        <f t="shared" si="11"/>
        <v/>
      </c>
    </row>
    <row r="607" spans="1:1" x14ac:dyDescent="0.3">
      <c r="A607" s="176" t="str">
        <f t="shared" si="11"/>
        <v/>
      </c>
    </row>
    <row r="608" spans="1:1" x14ac:dyDescent="0.3">
      <c r="A608" s="176" t="str">
        <f t="shared" si="11"/>
        <v/>
      </c>
    </row>
    <row r="609" spans="1:1" x14ac:dyDescent="0.3">
      <c r="A609" s="176" t="str">
        <f t="shared" si="11"/>
        <v/>
      </c>
    </row>
    <row r="610" spans="1:1" x14ac:dyDescent="0.3">
      <c r="A610" s="176" t="str">
        <f t="shared" si="11"/>
        <v/>
      </c>
    </row>
    <row r="611" spans="1:1" x14ac:dyDescent="0.3">
      <c r="A611" s="176" t="str">
        <f t="shared" si="11"/>
        <v/>
      </c>
    </row>
    <row r="612" spans="1:1" x14ac:dyDescent="0.3">
      <c r="A612" s="176" t="str">
        <f t="shared" si="11"/>
        <v/>
      </c>
    </row>
    <row r="613" spans="1:1" x14ac:dyDescent="0.3">
      <c r="A613" s="176" t="str">
        <f t="shared" si="11"/>
        <v/>
      </c>
    </row>
    <row r="614" spans="1:1" x14ac:dyDescent="0.3">
      <c r="A614" s="176" t="str">
        <f t="shared" si="11"/>
        <v/>
      </c>
    </row>
    <row r="615" spans="1:1" x14ac:dyDescent="0.3">
      <c r="A615" s="176" t="str">
        <f t="shared" si="11"/>
        <v/>
      </c>
    </row>
    <row r="616" spans="1:1" x14ac:dyDescent="0.3">
      <c r="A616" s="176" t="str">
        <f t="shared" si="11"/>
        <v/>
      </c>
    </row>
    <row r="617" spans="1:1" x14ac:dyDescent="0.3">
      <c r="A617" s="176" t="str">
        <f t="shared" si="11"/>
        <v/>
      </c>
    </row>
    <row r="618" spans="1:1" x14ac:dyDescent="0.3">
      <c r="A618" s="176" t="str">
        <f t="shared" si="11"/>
        <v/>
      </c>
    </row>
    <row r="619" spans="1:1" x14ac:dyDescent="0.3">
      <c r="A619" s="176" t="str">
        <f t="shared" si="11"/>
        <v/>
      </c>
    </row>
    <row r="620" spans="1:1" x14ac:dyDescent="0.3">
      <c r="A620" s="176" t="str">
        <f t="shared" si="11"/>
        <v/>
      </c>
    </row>
    <row r="621" spans="1:1" x14ac:dyDescent="0.3">
      <c r="A621" s="176" t="str">
        <f t="shared" si="11"/>
        <v/>
      </c>
    </row>
    <row r="622" spans="1:1" x14ac:dyDescent="0.3">
      <c r="A622" s="176" t="str">
        <f t="shared" si="11"/>
        <v/>
      </c>
    </row>
    <row r="623" spans="1:1" x14ac:dyDescent="0.3">
      <c r="A623" s="176" t="str">
        <f t="shared" si="11"/>
        <v/>
      </c>
    </row>
    <row r="624" spans="1:1" x14ac:dyDescent="0.3">
      <c r="A624" s="176" t="str">
        <f t="shared" si="11"/>
        <v/>
      </c>
    </row>
    <row r="625" spans="1:1" x14ac:dyDescent="0.3">
      <c r="A625" s="176" t="str">
        <f t="shared" si="11"/>
        <v/>
      </c>
    </row>
    <row r="626" spans="1:1" x14ac:dyDescent="0.3">
      <c r="A626" s="176" t="str">
        <f t="shared" si="11"/>
        <v/>
      </c>
    </row>
    <row r="627" spans="1:1" x14ac:dyDescent="0.3">
      <c r="A627" s="176" t="str">
        <f t="shared" si="11"/>
        <v/>
      </c>
    </row>
    <row r="628" spans="1:1" x14ac:dyDescent="0.3">
      <c r="A628" s="176" t="str">
        <f t="shared" si="11"/>
        <v/>
      </c>
    </row>
    <row r="629" spans="1:1" x14ac:dyDescent="0.3">
      <c r="A629" s="176" t="str">
        <f t="shared" si="11"/>
        <v/>
      </c>
    </row>
    <row r="630" spans="1:1" x14ac:dyDescent="0.3">
      <c r="A630" s="176" t="str">
        <f t="shared" si="11"/>
        <v/>
      </c>
    </row>
    <row r="631" spans="1:1" x14ac:dyDescent="0.3">
      <c r="A631" s="176" t="str">
        <f t="shared" si="11"/>
        <v/>
      </c>
    </row>
    <row r="632" spans="1:1" x14ac:dyDescent="0.3">
      <c r="A632" s="176" t="str">
        <f t="shared" si="11"/>
        <v/>
      </c>
    </row>
    <row r="633" spans="1:1" x14ac:dyDescent="0.3">
      <c r="A633" s="176" t="str">
        <f t="shared" si="11"/>
        <v/>
      </c>
    </row>
    <row r="634" spans="1:1" x14ac:dyDescent="0.3">
      <c r="A634" s="176" t="str">
        <f t="shared" si="11"/>
        <v/>
      </c>
    </row>
    <row r="635" spans="1:1" x14ac:dyDescent="0.3">
      <c r="A635" s="176" t="str">
        <f t="shared" si="11"/>
        <v/>
      </c>
    </row>
    <row r="636" spans="1:1" x14ac:dyDescent="0.3">
      <c r="A636" s="176" t="str">
        <f t="shared" si="11"/>
        <v/>
      </c>
    </row>
    <row r="637" spans="1:1" x14ac:dyDescent="0.3">
      <c r="A637" s="176" t="str">
        <f t="shared" si="11"/>
        <v/>
      </c>
    </row>
    <row r="638" spans="1:1" x14ac:dyDescent="0.3">
      <c r="A638" s="176" t="str">
        <f t="shared" si="11"/>
        <v/>
      </c>
    </row>
    <row r="639" spans="1:1" x14ac:dyDescent="0.3">
      <c r="A639" s="176" t="str">
        <f t="shared" si="11"/>
        <v/>
      </c>
    </row>
    <row r="640" spans="1:1" x14ac:dyDescent="0.3">
      <c r="A640" s="176" t="str">
        <f t="shared" si="11"/>
        <v/>
      </c>
    </row>
    <row r="641" spans="1:1" x14ac:dyDescent="0.3">
      <c r="A641" s="176" t="str">
        <f t="shared" si="11"/>
        <v/>
      </c>
    </row>
    <row r="642" spans="1:1" x14ac:dyDescent="0.3">
      <c r="A642" s="176" t="str">
        <f t="shared" si="11"/>
        <v/>
      </c>
    </row>
    <row r="643" spans="1:1" x14ac:dyDescent="0.3">
      <c r="A643" s="176" t="str">
        <f t="shared" si="11"/>
        <v/>
      </c>
    </row>
    <row r="644" spans="1:1" x14ac:dyDescent="0.3">
      <c r="A644" s="176" t="str">
        <f t="shared" si="11"/>
        <v/>
      </c>
    </row>
    <row r="645" spans="1:1" x14ac:dyDescent="0.3">
      <c r="A645" s="176" t="str">
        <f t="shared" si="11"/>
        <v/>
      </c>
    </row>
    <row r="646" spans="1:1" x14ac:dyDescent="0.3">
      <c r="A646" s="176" t="str">
        <f t="shared" si="11"/>
        <v/>
      </c>
    </row>
    <row r="647" spans="1:1" x14ac:dyDescent="0.3">
      <c r="A647" s="176" t="str">
        <f t="shared" si="11"/>
        <v/>
      </c>
    </row>
    <row r="648" spans="1:1" x14ac:dyDescent="0.3">
      <c r="A648" s="176" t="str">
        <f t="shared" si="11"/>
        <v/>
      </c>
    </row>
    <row r="649" spans="1:1" x14ac:dyDescent="0.3">
      <c r="A649" s="176" t="str">
        <f t="shared" si="11"/>
        <v/>
      </c>
    </row>
    <row r="650" spans="1:1" x14ac:dyDescent="0.3">
      <c r="A650" s="176" t="str">
        <f t="shared" si="11"/>
        <v/>
      </c>
    </row>
    <row r="651" spans="1:1" x14ac:dyDescent="0.3">
      <c r="A651" s="176" t="str">
        <f t="shared" si="11"/>
        <v/>
      </c>
    </row>
    <row r="652" spans="1:1" x14ac:dyDescent="0.3">
      <c r="A652" s="176" t="str">
        <f t="shared" si="11"/>
        <v/>
      </c>
    </row>
    <row r="653" spans="1:1" x14ac:dyDescent="0.3">
      <c r="A653" s="176" t="str">
        <f t="shared" si="11"/>
        <v/>
      </c>
    </row>
    <row r="654" spans="1:1" x14ac:dyDescent="0.3">
      <c r="A654" s="176" t="str">
        <f t="shared" si="11"/>
        <v/>
      </c>
    </row>
    <row r="655" spans="1:1" x14ac:dyDescent="0.3">
      <c r="A655" s="176" t="str">
        <f t="shared" si="11"/>
        <v/>
      </c>
    </row>
    <row r="656" spans="1:1" x14ac:dyDescent="0.3">
      <c r="A656" s="176" t="str">
        <f t="shared" si="11"/>
        <v/>
      </c>
    </row>
    <row r="657" spans="1:1" x14ac:dyDescent="0.3">
      <c r="A657" s="176" t="str">
        <f t="shared" si="11"/>
        <v/>
      </c>
    </row>
    <row r="658" spans="1:1" x14ac:dyDescent="0.3">
      <c r="A658" s="176" t="str">
        <f t="shared" si="11"/>
        <v/>
      </c>
    </row>
    <row r="659" spans="1:1" x14ac:dyDescent="0.3">
      <c r="A659" s="176" t="str">
        <f t="shared" si="11"/>
        <v/>
      </c>
    </row>
    <row r="660" spans="1:1" x14ac:dyDescent="0.3">
      <c r="A660" s="176" t="str">
        <f t="shared" si="11"/>
        <v/>
      </c>
    </row>
    <row r="661" spans="1:1" x14ac:dyDescent="0.3">
      <c r="A661" s="176" t="str">
        <f t="shared" si="11"/>
        <v/>
      </c>
    </row>
    <row r="662" spans="1:1" x14ac:dyDescent="0.3">
      <c r="A662" s="176" t="str">
        <f t="shared" si="11"/>
        <v/>
      </c>
    </row>
    <row r="663" spans="1:1" x14ac:dyDescent="0.3">
      <c r="A663" s="176" t="str">
        <f t="shared" si="11"/>
        <v/>
      </c>
    </row>
    <row r="664" spans="1:1" x14ac:dyDescent="0.3">
      <c r="A664" s="176" t="str">
        <f t="shared" si="11"/>
        <v/>
      </c>
    </row>
    <row r="665" spans="1:1" x14ac:dyDescent="0.3">
      <c r="A665" s="176" t="str">
        <f t="shared" si="11"/>
        <v/>
      </c>
    </row>
    <row r="666" spans="1:1" x14ac:dyDescent="0.3">
      <c r="A666" s="176" t="str">
        <f t="shared" si="11"/>
        <v/>
      </c>
    </row>
    <row r="667" spans="1:1" x14ac:dyDescent="0.3">
      <c r="A667" s="176" t="str">
        <f t="shared" ref="A667:A730" si="12">IF(B667="  Total",B667,"")</f>
        <v/>
      </c>
    </row>
    <row r="668" spans="1:1" x14ac:dyDescent="0.3">
      <c r="A668" s="176" t="str">
        <f t="shared" si="12"/>
        <v/>
      </c>
    </row>
    <row r="669" spans="1:1" x14ac:dyDescent="0.3">
      <c r="A669" s="176" t="str">
        <f t="shared" si="12"/>
        <v/>
      </c>
    </row>
    <row r="670" spans="1:1" x14ac:dyDescent="0.3">
      <c r="A670" s="176" t="str">
        <f t="shared" si="12"/>
        <v/>
      </c>
    </row>
    <row r="671" spans="1:1" x14ac:dyDescent="0.3">
      <c r="A671" s="176" t="str">
        <f t="shared" si="12"/>
        <v/>
      </c>
    </row>
    <row r="672" spans="1:1" x14ac:dyDescent="0.3">
      <c r="A672" s="176" t="str">
        <f t="shared" si="12"/>
        <v/>
      </c>
    </row>
    <row r="673" spans="1:1" x14ac:dyDescent="0.3">
      <c r="A673" s="176" t="str">
        <f t="shared" si="12"/>
        <v/>
      </c>
    </row>
    <row r="674" spans="1:1" x14ac:dyDescent="0.3">
      <c r="A674" s="176" t="str">
        <f t="shared" si="12"/>
        <v/>
      </c>
    </row>
    <row r="675" spans="1:1" x14ac:dyDescent="0.3">
      <c r="A675" s="176" t="str">
        <f t="shared" si="12"/>
        <v/>
      </c>
    </row>
    <row r="676" spans="1:1" x14ac:dyDescent="0.3">
      <c r="A676" s="176" t="str">
        <f t="shared" si="12"/>
        <v/>
      </c>
    </row>
    <row r="677" spans="1:1" x14ac:dyDescent="0.3">
      <c r="A677" s="176" t="str">
        <f t="shared" si="12"/>
        <v/>
      </c>
    </row>
    <row r="678" spans="1:1" x14ac:dyDescent="0.3">
      <c r="A678" s="176" t="str">
        <f t="shared" si="12"/>
        <v/>
      </c>
    </row>
    <row r="679" spans="1:1" x14ac:dyDescent="0.3">
      <c r="A679" s="176" t="str">
        <f t="shared" si="12"/>
        <v/>
      </c>
    </row>
    <row r="680" spans="1:1" x14ac:dyDescent="0.3">
      <c r="A680" s="176" t="str">
        <f t="shared" si="12"/>
        <v/>
      </c>
    </row>
    <row r="681" spans="1:1" x14ac:dyDescent="0.3">
      <c r="A681" s="176" t="str">
        <f t="shared" si="12"/>
        <v/>
      </c>
    </row>
    <row r="682" spans="1:1" x14ac:dyDescent="0.3">
      <c r="A682" s="176" t="str">
        <f t="shared" si="12"/>
        <v/>
      </c>
    </row>
    <row r="683" spans="1:1" x14ac:dyDescent="0.3">
      <c r="A683" s="176" t="str">
        <f t="shared" si="12"/>
        <v/>
      </c>
    </row>
    <row r="684" spans="1:1" x14ac:dyDescent="0.3">
      <c r="A684" s="176" t="str">
        <f t="shared" si="12"/>
        <v/>
      </c>
    </row>
    <row r="685" spans="1:1" x14ac:dyDescent="0.3">
      <c r="A685" s="176" t="str">
        <f t="shared" si="12"/>
        <v/>
      </c>
    </row>
    <row r="686" spans="1:1" x14ac:dyDescent="0.3">
      <c r="A686" s="176" t="str">
        <f t="shared" si="12"/>
        <v/>
      </c>
    </row>
    <row r="687" spans="1:1" x14ac:dyDescent="0.3">
      <c r="A687" s="176" t="str">
        <f t="shared" si="12"/>
        <v/>
      </c>
    </row>
    <row r="688" spans="1:1" x14ac:dyDescent="0.3">
      <c r="A688" s="176" t="str">
        <f t="shared" si="12"/>
        <v/>
      </c>
    </row>
    <row r="689" spans="1:1" x14ac:dyDescent="0.3">
      <c r="A689" s="176" t="str">
        <f t="shared" si="12"/>
        <v/>
      </c>
    </row>
    <row r="690" spans="1:1" x14ac:dyDescent="0.3">
      <c r="A690" s="176" t="str">
        <f t="shared" si="12"/>
        <v/>
      </c>
    </row>
    <row r="691" spans="1:1" x14ac:dyDescent="0.3">
      <c r="A691" s="176" t="str">
        <f t="shared" si="12"/>
        <v/>
      </c>
    </row>
    <row r="692" spans="1:1" x14ac:dyDescent="0.3">
      <c r="A692" s="176" t="str">
        <f t="shared" si="12"/>
        <v/>
      </c>
    </row>
    <row r="693" spans="1:1" x14ac:dyDescent="0.3">
      <c r="A693" s="176" t="str">
        <f t="shared" si="12"/>
        <v/>
      </c>
    </row>
    <row r="694" spans="1:1" x14ac:dyDescent="0.3">
      <c r="A694" s="176" t="str">
        <f t="shared" si="12"/>
        <v/>
      </c>
    </row>
    <row r="695" spans="1:1" x14ac:dyDescent="0.3">
      <c r="A695" s="176" t="str">
        <f t="shared" si="12"/>
        <v/>
      </c>
    </row>
    <row r="696" spans="1:1" x14ac:dyDescent="0.3">
      <c r="A696" s="176" t="str">
        <f t="shared" si="12"/>
        <v/>
      </c>
    </row>
    <row r="697" spans="1:1" x14ac:dyDescent="0.3">
      <c r="A697" s="176" t="str">
        <f t="shared" si="12"/>
        <v/>
      </c>
    </row>
    <row r="698" spans="1:1" x14ac:dyDescent="0.3">
      <c r="A698" s="176" t="str">
        <f t="shared" si="12"/>
        <v/>
      </c>
    </row>
    <row r="699" spans="1:1" x14ac:dyDescent="0.3">
      <c r="A699" s="176" t="str">
        <f t="shared" si="12"/>
        <v/>
      </c>
    </row>
    <row r="700" spans="1:1" x14ac:dyDescent="0.3">
      <c r="A700" s="176" t="str">
        <f t="shared" si="12"/>
        <v/>
      </c>
    </row>
    <row r="701" spans="1:1" x14ac:dyDescent="0.3">
      <c r="A701" s="176" t="str">
        <f t="shared" si="12"/>
        <v/>
      </c>
    </row>
    <row r="702" spans="1:1" x14ac:dyDescent="0.3">
      <c r="A702" s="176" t="str">
        <f t="shared" si="12"/>
        <v/>
      </c>
    </row>
    <row r="703" spans="1:1" x14ac:dyDescent="0.3">
      <c r="A703" s="176" t="str">
        <f t="shared" si="12"/>
        <v/>
      </c>
    </row>
    <row r="704" spans="1:1" x14ac:dyDescent="0.3">
      <c r="A704" s="176" t="str">
        <f t="shared" si="12"/>
        <v/>
      </c>
    </row>
    <row r="705" spans="1:1" x14ac:dyDescent="0.3">
      <c r="A705" s="176" t="str">
        <f t="shared" si="12"/>
        <v/>
      </c>
    </row>
    <row r="706" spans="1:1" x14ac:dyDescent="0.3">
      <c r="A706" s="176" t="str">
        <f t="shared" si="12"/>
        <v/>
      </c>
    </row>
    <row r="707" spans="1:1" x14ac:dyDescent="0.3">
      <c r="A707" s="176" t="str">
        <f t="shared" si="12"/>
        <v/>
      </c>
    </row>
    <row r="708" spans="1:1" x14ac:dyDescent="0.3">
      <c r="A708" s="176" t="str">
        <f t="shared" si="12"/>
        <v/>
      </c>
    </row>
    <row r="709" spans="1:1" x14ac:dyDescent="0.3">
      <c r="A709" s="176" t="str">
        <f t="shared" si="12"/>
        <v/>
      </c>
    </row>
    <row r="710" spans="1:1" x14ac:dyDescent="0.3">
      <c r="A710" s="176" t="str">
        <f t="shared" si="12"/>
        <v/>
      </c>
    </row>
    <row r="711" spans="1:1" x14ac:dyDescent="0.3">
      <c r="A711" s="176" t="str">
        <f t="shared" si="12"/>
        <v/>
      </c>
    </row>
    <row r="712" spans="1:1" x14ac:dyDescent="0.3">
      <c r="A712" s="176" t="str">
        <f t="shared" si="12"/>
        <v/>
      </c>
    </row>
    <row r="713" spans="1:1" x14ac:dyDescent="0.3">
      <c r="A713" s="176" t="str">
        <f t="shared" si="12"/>
        <v/>
      </c>
    </row>
    <row r="714" spans="1:1" x14ac:dyDescent="0.3">
      <c r="A714" s="176" t="str">
        <f t="shared" si="12"/>
        <v/>
      </c>
    </row>
    <row r="715" spans="1:1" x14ac:dyDescent="0.3">
      <c r="A715" s="176" t="str">
        <f t="shared" si="12"/>
        <v/>
      </c>
    </row>
    <row r="716" spans="1:1" x14ac:dyDescent="0.3">
      <c r="A716" s="176" t="str">
        <f t="shared" si="12"/>
        <v/>
      </c>
    </row>
    <row r="717" spans="1:1" x14ac:dyDescent="0.3">
      <c r="A717" s="176" t="str">
        <f t="shared" si="12"/>
        <v/>
      </c>
    </row>
    <row r="718" spans="1:1" x14ac:dyDescent="0.3">
      <c r="A718" s="176" t="str">
        <f t="shared" si="12"/>
        <v/>
      </c>
    </row>
    <row r="719" spans="1:1" x14ac:dyDescent="0.3">
      <c r="A719" s="176" t="str">
        <f t="shared" si="12"/>
        <v/>
      </c>
    </row>
    <row r="720" spans="1:1" x14ac:dyDescent="0.3">
      <c r="A720" s="176" t="str">
        <f t="shared" si="12"/>
        <v/>
      </c>
    </row>
    <row r="721" spans="1:1" x14ac:dyDescent="0.3">
      <c r="A721" s="176" t="str">
        <f t="shared" si="12"/>
        <v/>
      </c>
    </row>
    <row r="722" spans="1:1" x14ac:dyDescent="0.3">
      <c r="A722" s="176" t="str">
        <f t="shared" si="12"/>
        <v/>
      </c>
    </row>
    <row r="723" spans="1:1" x14ac:dyDescent="0.3">
      <c r="A723" s="176" t="str">
        <f t="shared" si="12"/>
        <v/>
      </c>
    </row>
    <row r="724" spans="1:1" x14ac:dyDescent="0.3">
      <c r="A724" s="176" t="str">
        <f t="shared" si="12"/>
        <v/>
      </c>
    </row>
    <row r="725" spans="1:1" x14ac:dyDescent="0.3">
      <c r="A725" s="176" t="str">
        <f t="shared" si="12"/>
        <v/>
      </c>
    </row>
    <row r="726" spans="1:1" x14ac:dyDescent="0.3">
      <c r="A726" s="176" t="str">
        <f t="shared" si="12"/>
        <v/>
      </c>
    </row>
    <row r="727" spans="1:1" x14ac:dyDescent="0.3">
      <c r="A727" s="176" t="str">
        <f t="shared" si="12"/>
        <v/>
      </c>
    </row>
    <row r="728" spans="1:1" x14ac:dyDescent="0.3">
      <c r="A728" s="176" t="str">
        <f t="shared" si="12"/>
        <v/>
      </c>
    </row>
    <row r="729" spans="1:1" x14ac:dyDescent="0.3">
      <c r="A729" s="176" t="str">
        <f t="shared" si="12"/>
        <v/>
      </c>
    </row>
    <row r="730" spans="1:1" x14ac:dyDescent="0.3">
      <c r="A730" s="176" t="str">
        <f t="shared" si="12"/>
        <v/>
      </c>
    </row>
    <row r="731" spans="1:1" x14ac:dyDescent="0.3">
      <c r="A731" s="176" t="str">
        <f t="shared" ref="A731:A794" si="13">IF(B731="  Total",B731,"")</f>
        <v/>
      </c>
    </row>
    <row r="732" spans="1:1" x14ac:dyDescent="0.3">
      <c r="A732" s="176" t="str">
        <f t="shared" si="13"/>
        <v/>
      </c>
    </row>
    <row r="733" spans="1:1" x14ac:dyDescent="0.3">
      <c r="A733" s="176" t="str">
        <f t="shared" si="13"/>
        <v/>
      </c>
    </row>
    <row r="734" spans="1:1" x14ac:dyDescent="0.3">
      <c r="A734" s="176" t="str">
        <f t="shared" si="13"/>
        <v/>
      </c>
    </row>
    <row r="735" spans="1:1" x14ac:dyDescent="0.3">
      <c r="A735" s="176" t="str">
        <f t="shared" si="13"/>
        <v/>
      </c>
    </row>
    <row r="736" spans="1:1" x14ac:dyDescent="0.3">
      <c r="A736" s="176" t="str">
        <f t="shared" si="13"/>
        <v/>
      </c>
    </row>
    <row r="737" spans="1:1" x14ac:dyDescent="0.3">
      <c r="A737" s="176" t="str">
        <f t="shared" si="13"/>
        <v/>
      </c>
    </row>
    <row r="738" spans="1:1" x14ac:dyDescent="0.3">
      <c r="A738" s="176" t="str">
        <f t="shared" si="13"/>
        <v/>
      </c>
    </row>
    <row r="739" spans="1:1" x14ac:dyDescent="0.3">
      <c r="A739" s="176" t="str">
        <f t="shared" si="13"/>
        <v/>
      </c>
    </row>
    <row r="740" spans="1:1" x14ac:dyDescent="0.3">
      <c r="A740" s="176" t="str">
        <f t="shared" si="13"/>
        <v/>
      </c>
    </row>
    <row r="741" spans="1:1" x14ac:dyDescent="0.3">
      <c r="A741" s="176" t="str">
        <f t="shared" si="13"/>
        <v/>
      </c>
    </row>
    <row r="742" spans="1:1" x14ac:dyDescent="0.3">
      <c r="A742" s="176" t="str">
        <f t="shared" si="13"/>
        <v/>
      </c>
    </row>
    <row r="743" spans="1:1" x14ac:dyDescent="0.3">
      <c r="A743" s="176" t="str">
        <f t="shared" si="13"/>
        <v/>
      </c>
    </row>
    <row r="744" spans="1:1" x14ac:dyDescent="0.3">
      <c r="A744" s="176" t="str">
        <f t="shared" si="13"/>
        <v/>
      </c>
    </row>
    <row r="745" spans="1:1" x14ac:dyDescent="0.3">
      <c r="A745" s="176" t="str">
        <f t="shared" si="13"/>
        <v/>
      </c>
    </row>
    <row r="746" spans="1:1" x14ac:dyDescent="0.3">
      <c r="A746" s="176" t="str">
        <f t="shared" si="13"/>
        <v/>
      </c>
    </row>
    <row r="747" spans="1:1" x14ac:dyDescent="0.3">
      <c r="A747" s="176" t="str">
        <f t="shared" si="13"/>
        <v/>
      </c>
    </row>
    <row r="748" spans="1:1" x14ac:dyDescent="0.3">
      <c r="A748" s="176" t="str">
        <f t="shared" si="13"/>
        <v/>
      </c>
    </row>
    <row r="749" spans="1:1" x14ac:dyDescent="0.3">
      <c r="A749" s="176" t="str">
        <f t="shared" si="13"/>
        <v/>
      </c>
    </row>
    <row r="750" spans="1:1" x14ac:dyDescent="0.3">
      <c r="A750" s="176" t="str">
        <f t="shared" si="13"/>
        <v/>
      </c>
    </row>
    <row r="751" spans="1:1" x14ac:dyDescent="0.3">
      <c r="A751" s="176" t="str">
        <f t="shared" si="13"/>
        <v/>
      </c>
    </row>
    <row r="752" spans="1:1" x14ac:dyDescent="0.3">
      <c r="A752" s="176" t="str">
        <f t="shared" si="13"/>
        <v/>
      </c>
    </row>
    <row r="753" spans="1:1" x14ac:dyDescent="0.3">
      <c r="A753" s="176" t="str">
        <f t="shared" si="13"/>
        <v/>
      </c>
    </row>
    <row r="754" spans="1:1" x14ac:dyDescent="0.3">
      <c r="A754" s="176" t="str">
        <f t="shared" si="13"/>
        <v/>
      </c>
    </row>
    <row r="755" spans="1:1" x14ac:dyDescent="0.3">
      <c r="A755" s="176" t="str">
        <f t="shared" si="13"/>
        <v/>
      </c>
    </row>
    <row r="756" spans="1:1" x14ac:dyDescent="0.3">
      <c r="A756" s="176" t="str">
        <f t="shared" si="13"/>
        <v/>
      </c>
    </row>
    <row r="757" spans="1:1" x14ac:dyDescent="0.3">
      <c r="A757" s="176" t="str">
        <f t="shared" si="13"/>
        <v/>
      </c>
    </row>
    <row r="758" spans="1:1" x14ac:dyDescent="0.3">
      <c r="A758" s="176" t="str">
        <f t="shared" si="13"/>
        <v/>
      </c>
    </row>
    <row r="759" spans="1:1" x14ac:dyDescent="0.3">
      <c r="A759" s="176" t="str">
        <f t="shared" si="13"/>
        <v/>
      </c>
    </row>
    <row r="760" spans="1:1" x14ac:dyDescent="0.3">
      <c r="A760" s="176" t="str">
        <f t="shared" si="13"/>
        <v/>
      </c>
    </row>
    <row r="761" spans="1:1" x14ac:dyDescent="0.3">
      <c r="A761" s="176" t="str">
        <f t="shared" si="13"/>
        <v/>
      </c>
    </row>
    <row r="762" spans="1:1" x14ac:dyDescent="0.3">
      <c r="A762" s="176" t="str">
        <f t="shared" si="13"/>
        <v/>
      </c>
    </row>
    <row r="763" spans="1:1" x14ac:dyDescent="0.3">
      <c r="A763" s="176" t="str">
        <f t="shared" si="13"/>
        <v/>
      </c>
    </row>
    <row r="764" spans="1:1" x14ac:dyDescent="0.3">
      <c r="A764" s="176" t="str">
        <f t="shared" si="13"/>
        <v/>
      </c>
    </row>
    <row r="765" spans="1:1" x14ac:dyDescent="0.3">
      <c r="A765" s="176" t="str">
        <f t="shared" si="13"/>
        <v/>
      </c>
    </row>
    <row r="766" spans="1:1" x14ac:dyDescent="0.3">
      <c r="A766" s="176" t="str">
        <f t="shared" si="13"/>
        <v/>
      </c>
    </row>
    <row r="767" spans="1:1" x14ac:dyDescent="0.3">
      <c r="A767" s="176" t="str">
        <f t="shared" si="13"/>
        <v/>
      </c>
    </row>
    <row r="768" spans="1:1" x14ac:dyDescent="0.3">
      <c r="A768" s="176" t="str">
        <f t="shared" si="13"/>
        <v/>
      </c>
    </row>
    <row r="769" spans="1:1" x14ac:dyDescent="0.3">
      <c r="A769" s="176" t="str">
        <f t="shared" si="13"/>
        <v/>
      </c>
    </row>
    <row r="770" spans="1:1" x14ac:dyDescent="0.3">
      <c r="A770" s="176" t="str">
        <f t="shared" si="13"/>
        <v/>
      </c>
    </row>
    <row r="771" spans="1:1" x14ac:dyDescent="0.3">
      <c r="A771" s="176" t="str">
        <f t="shared" si="13"/>
        <v/>
      </c>
    </row>
    <row r="772" spans="1:1" x14ac:dyDescent="0.3">
      <c r="A772" s="176" t="str">
        <f t="shared" si="13"/>
        <v/>
      </c>
    </row>
    <row r="773" spans="1:1" x14ac:dyDescent="0.3">
      <c r="A773" s="176" t="str">
        <f t="shared" si="13"/>
        <v/>
      </c>
    </row>
    <row r="774" spans="1:1" x14ac:dyDescent="0.3">
      <c r="A774" s="176" t="str">
        <f t="shared" si="13"/>
        <v/>
      </c>
    </row>
    <row r="775" spans="1:1" x14ac:dyDescent="0.3">
      <c r="A775" s="176" t="str">
        <f t="shared" si="13"/>
        <v/>
      </c>
    </row>
    <row r="776" spans="1:1" x14ac:dyDescent="0.3">
      <c r="A776" s="176" t="str">
        <f t="shared" si="13"/>
        <v/>
      </c>
    </row>
    <row r="777" spans="1:1" x14ac:dyDescent="0.3">
      <c r="A777" s="176" t="str">
        <f t="shared" si="13"/>
        <v/>
      </c>
    </row>
    <row r="778" spans="1:1" x14ac:dyDescent="0.3">
      <c r="A778" s="176" t="str">
        <f t="shared" si="13"/>
        <v/>
      </c>
    </row>
    <row r="779" spans="1:1" x14ac:dyDescent="0.3">
      <c r="A779" s="176" t="str">
        <f t="shared" si="13"/>
        <v/>
      </c>
    </row>
    <row r="780" spans="1:1" x14ac:dyDescent="0.3">
      <c r="A780" s="176" t="str">
        <f t="shared" si="13"/>
        <v/>
      </c>
    </row>
    <row r="781" spans="1:1" x14ac:dyDescent="0.3">
      <c r="A781" s="176" t="str">
        <f t="shared" si="13"/>
        <v/>
      </c>
    </row>
    <row r="782" spans="1:1" x14ac:dyDescent="0.3">
      <c r="A782" s="176" t="str">
        <f t="shared" si="13"/>
        <v/>
      </c>
    </row>
    <row r="783" spans="1:1" x14ac:dyDescent="0.3">
      <c r="A783" s="176" t="str">
        <f t="shared" si="13"/>
        <v/>
      </c>
    </row>
    <row r="784" spans="1:1" x14ac:dyDescent="0.3">
      <c r="A784" s="176" t="str">
        <f t="shared" si="13"/>
        <v/>
      </c>
    </row>
    <row r="785" spans="1:1" x14ac:dyDescent="0.3">
      <c r="A785" s="176" t="str">
        <f t="shared" si="13"/>
        <v/>
      </c>
    </row>
    <row r="786" spans="1:1" x14ac:dyDescent="0.3">
      <c r="A786" s="176" t="str">
        <f t="shared" si="13"/>
        <v/>
      </c>
    </row>
    <row r="787" spans="1:1" x14ac:dyDescent="0.3">
      <c r="A787" s="176" t="str">
        <f t="shared" si="13"/>
        <v/>
      </c>
    </row>
    <row r="788" spans="1:1" x14ac:dyDescent="0.3">
      <c r="A788" s="176" t="str">
        <f t="shared" si="13"/>
        <v/>
      </c>
    </row>
    <row r="789" spans="1:1" x14ac:dyDescent="0.3">
      <c r="A789" s="176" t="str">
        <f t="shared" si="13"/>
        <v/>
      </c>
    </row>
    <row r="790" spans="1:1" x14ac:dyDescent="0.3">
      <c r="A790" s="176" t="str">
        <f t="shared" si="13"/>
        <v/>
      </c>
    </row>
    <row r="791" spans="1:1" x14ac:dyDescent="0.3">
      <c r="A791" s="176" t="str">
        <f t="shared" si="13"/>
        <v/>
      </c>
    </row>
    <row r="792" spans="1:1" x14ac:dyDescent="0.3">
      <c r="A792" s="176" t="str">
        <f t="shared" si="13"/>
        <v/>
      </c>
    </row>
    <row r="793" spans="1:1" x14ac:dyDescent="0.3">
      <c r="A793" s="176" t="str">
        <f t="shared" si="13"/>
        <v/>
      </c>
    </row>
    <row r="794" spans="1:1" x14ac:dyDescent="0.3">
      <c r="A794" s="176" t="str">
        <f t="shared" si="13"/>
        <v/>
      </c>
    </row>
    <row r="795" spans="1:1" x14ac:dyDescent="0.3">
      <c r="A795" s="176" t="str">
        <f t="shared" ref="A795:A858" si="14">IF(B795="  Total",B795,"")</f>
        <v/>
      </c>
    </row>
    <row r="796" spans="1:1" x14ac:dyDescent="0.3">
      <c r="A796" s="176" t="str">
        <f t="shared" si="14"/>
        <v/>
      </c>
    </row>
    <row r="797" spans="1:1" x14ac:dyDescent="0.3">
      <c r="A797" s="176" t="str">
        <f t="shared" si="14"/>
        <v/>
      </c>
    </row>
    <row r="798" spans="1:1" x14ac:dyDescent="0.3">
      <c r="A798" s="176" t="str">
        <f t="shared" si="14"/>
        <v/>
      </c>
    </row>
    <row r="799" spans="1:1" x14ac:dyDescent="0.3">
      <c r="A799" s="176" t="str">
        <f t="shared" si="14"/>
        <v/>
      </c>
    </row>
    <row r="800" spans="1:1" x14ac:dyDescent="0.3">
      <c r="A800" s="176" t="str">
        <f t="shared" si="14"/>
        <v/>
      </c>
    </row>
    <row r="801" spans="1:1" x14ac:dyDescent="0.3">
      <c r="A801" s="176" t="str">
        <f t="shared" si="14"/>
        <v/>
      </c>
    </row>
    <row r="802" spans="1:1" x14ac:dyDescent="0.3">
      <c r="A802" s="176" t="str">
        <f t="shared" si="14"/>
        <v/>
      </c>
    </row>
    <row r="803" spans="1:1" x14ac:dyDescent="0.3">
      <c r="A803" s="176" t="str">
        <f t="shared" si="14"/>
        <v/>
      </c>
    </row>
    <row r="804" spans="1:1" x14ac:dyDescent="0.3">
      <c r="A804" s="176" t="str">
        <f t="shared" si="14"/>
        <v/>
      </c>
    </row>
    <row r="805" spans="1:1" x14ac:dyDescent="0.3">
      <c r="A805" s="176" t="str">
        <f t="shared" si="14"/>
        <v/>
      </c>
    </row>
    <row r="806" spans="1:1" x14ac:dyDescent="0.3">
      <c r="A806" s="176" t="str">
        <f t="shared" si="14"/>
        <v/>
      </c>
    </row>
    <row r="807" spans="1:1" x14ac:dyDescent="0.3">
      <c r="A807" s="176" t="str">
        <f t="shared" si="14"/>
        <v/>
      </c>
    </row>
    <row r="808" spans="1:1" x14ac:dyDescent="0.3">
      <c r="A808" s="176" t="str">
        <f t="shared" si="14"/>
        <v/>
      </c>
    </row>
    <row r="809" spans="1:1" x14ac:dyDescent="0.3">
      <c r="A809" s="176" t="str">
        <f t="shared" si="14"/>
        <v/>
      </c>
    </row>
    <row r="810" spans="1:1" x14ac:dyDescent="0.3">
      <c r="A810" s="176" t="str">
        <f t="shared" si="14"/>
        <v/>
      </c>
    </row>
    <row r="811" spans="1:1" x14ac:dyDescent="0.3">
      <c r="A811" s="176" t="str">
        <f t="shared" si="14"/>
        <v/>
      </c>
    </row>
    <row r="812" spans="1:1" x14ac:dyDescent="0.3">
      <c r="A812" s="176" t="str">
        <f t="shared" si="14"/>
        <v/>
      </c>
    </row>
    <row r="813" spans="1:1" x14ac:dyDescent="0.3">
      <c r="A813" s="176" t="str">
        <f t="shared" si="14"/>
        <v/>
      </c>
    </row>
    <row r="814" spans="1:1" x14ac:dyDescent="0.3">
      <c r="A814" s="176" t="str">
        <f t="shared" si="14"/>
        <v/>
      </c>
    </row>
    <row r="815" spans="1:1" x14ac:dyDescent="0.3">
      <c r="A815" s="176" t="str">
        <f t="shared" si="14"/>
        <v/>
      </c>
    </row>
    <row r="816" spans="1:1" x14ac:dyDescent="0.3">
      <c r="A816" s="176" t="str">
        <f t="shared" si="14"/>
        <v/>
      </c>
    </row>
    <row r="817" spans="1:1" x14ac:dyDescent="0.3">
      <c r="A817" s="176" t="str">
        <f t="shared" si="14"/>
        <v/>
      </c>
    </row>
    <row r="818" spans="1:1" x14ac:dyDescent="0.3">
      <c r="A818" s="176" t="str">
        <f t="shared" si="14"/>
        <v/>
      </c>
    </row>
    <row r="819" spans="1:1" x14ac:dyDescent="0.3">
      <c r="A819" s="176" t="str">
        <f t="shared" si="14"/>
        <v/>
      </c>
    </row>
    <row r="820" spans="1:1" x14ac:dyDescent="0.3">
      <c r="A820" s="176" t="str">
        <f t="shared" si="14"/>
        <v/>
      </c>
    </row>
    <row r="821" spans="1:1" x14ac:dyDescent="0.3">
      <c r="A821" s="176" t="str">
        <f t="shared" si="14"/>
        <v/>
      </c>
    </row>
    <row r="822" spans="1:1" x14ac:dyDescent="0.3">
      <c r="A822" s="176" t="str">
        <f t="shared" si="14"/>
        <v/>
      </c>
    </row>
    <row r="823" spans="1:1" x14ac:dyDescent="0.3">
      <c r="A823" s="176" t="str">
        <f t="shared" si="14"/>
        <v/>
      </c>
    </row>
    <row r="824" spans="1:1" x14ac:dyDescent="0.3">
      <c r="A824" s="176" t="str">
        <f t="shared" si="14"/>
        <v/>
      </c>
    </row>
    <row r="825" spans="1:1" x14ac:dyDescent="0.3">
      <c r="A825" s="176" t="str">
        <f t="shared" si="14"/>
        <v/>
      </c>
    </row>
    <row r="826" spans="1:1" x14ac:dyDescent="0.3">
      <c r="A826" s="176" t="str">
        <f t="shared" si="14"/>
        <v/>
      </c>
    </row>
    <row r="827" spans="1:1" x14ac:dyDescent="0.3">
      <c r="A827" s="176" t="str">
        <f t="shared" si="14"/>
        <v/>
      </c>
    </row>
    <row r="828" spans="1:1" x14ac:dyDescent="0.3">
      <c r="A828" s="176" t="str">
        <f t="shared" si="14"/>
        <v/>
      </c>
    </row>
    <row r="829" spans="1:1" x14ac:dyDescent="0.3">
      <c r="A829" s="176" t="str">
        <f t="shared" si="14"/>
        <v/>
      </c>
    </row>
    <row r="830" spans="1:1" x14ac:dyDescent="0.3">
      <c r="A830" s="176" t="str">
        <f t="shared" si="14"/>
        <v/>
      </c>
    </row>
    <row r="831" spans="1:1" x14ac:dyDescent="0.3">
      <c r="A831" s="176" t="str">
        <f t="shared" si="14"/>
        <v/>
      </c>
    </row>
    <row r="832" spans="1:1" x14ac:dyDescent="0.3">
      <c r="A832" s="176" t="str">
        <f t="shared" si="14"/>
        <v/>
      </c>
    </row>
    <row r="833" spans="1:1" x14ac:dyDescent="0.3">
      <c r="A833" s="176" t="str">
        <f t="shared" si="14"/>
        <v/>
      </c>
    </row>
    <row r="834" spans="1:1" x14ac:dyDescent="0.3">
      <c r="A834" s="176" t="str">
        <f t="shared" si="14"/>
        <v/>
      </c>
    </row>
    <row r="835" spans="1:1" x14ac:dyDescent="0.3">
      <c r="A835" s="176" t="str">
        <f t="shared" si="14"/>
        <v/>
      </c>
    </row>
    <row r="836" spans="1:1" x14ac:dyDescent="0.3">
      <c r="A836" s="176" t="str">
        <f t="shared" si="14"/>
        <v/>
      </c>
    </row>
    <row r="837" spans="1:1" x14ac:dyDescent="0.3">
      <c r="A837" s="176" t="str">
        <f t="shared" si="14"/>
        <v/>
      </c>
    </row>
    <row r="838" spans="1:1" x14ac:dyDescent="0.3">
      <c r="A838" s="176" t="str">
        <f t="shared" si="14"/>
        <v/>
      </c>
    </row>
    <row r="839" spans="1:1" x14ac:dyDescent="0.3">
      <c r="A839" s="176" t="str">
        <f t="shared" si="14"/>
        <v/>
      </c>
    </row>
    <row r="840" spans="1:1" x14ac:dyDescent="0.3">
      <c r="A840" s="176" t="str">
        <f t="shared" si="14"/>
        <v/>
      </c>
    </row>
    <row r="841" spans="1:1" x14ac:dyDescent="0.3">
      <c r="A841" s="176" t="str">
        <f t="shared" si="14"/>
        <v/>
      </c>
    </row>
    <row r="842" spans="1:1" x14ac:dyDescent="0.3">
      <c r="A842" s="176" t="str">
        <f t="shared" si="14"/>
        <v/>
      </c>
    </row>
    <row r="843" spans="1:1" x14ac:dyDescent="0.3">
      <c r="A843" s="176" t="str">
        <f t="shared" si="14"/>
        <v/>
      </c>
    </row>
    <row r="844" spans="1:1" x14ac:dyDescent="0.3">
      <c r="A844" s="176" t="str">
        <f t="shared" si="14"/>
        <v/>
      </c>
    </row>
    <row r="845" spans="1:1" x14ac:dyDescent="0.3">
      <c r="A845" s="176" t="str">
        <f t="shared" si="14"/>
        <v/>
      </c>
    </row>
    <row r="846" spans="1:1" x14ac:dyDescent="0.3">
      <c r="A846" s="176" t="str">
        <f t="shared" si="14"/>
        <v/>
      </c>
    </row>
    <row r="847" spans="1:1" x14ac:dyDescent="0.3">
      <c r="A847" s="176" t="str">
        <f t="shared" si="14"/>
        <v/>
      </c>
    </row>
    <row r="848" spans="1:1" x14ac:dyDescent="0.3">
      <c r="A848" s="176" t="str">
        <f t="shared" si="14"/>
        <v/>
      </c>
    </row>
    <row r="849" spans="1:1" x14ac:dyDescent="0.3">
      <c r="A849" s="176" t="str">
        <f t="shared" si="14"/>
        <v/>
      </c>
    </row>
    <row r="850" spans="1:1" x14ac:dyDescent="0.3">
      <c r="A850" s="176" t="str">
        <f t="shared" si="14"/>
        <v/>
      </c>
    </row>
    <row r="851" spans="1:1" x14ac:dyDescent="0.3">
      <c r="A851" s="176" t="str">
        <f t="shared" si="14"/>
        <v/>
      </c>
    </row>
    <row r="852" spans="1:1" x14ac:dyDescent="0.3">
      <c r="A852" s="176" t="str">
        <f t="shared" si="14"/>
        <v/>
      </c>
    </row>
    <row r="853" spans="1:1" x14ac:dyDescent="0.3">
      <c r="A853" s="176" t="str">
        <f t="shared" si="14"/>
        <v/>
      </c>
    </row>
    <row r="854" spans="1:1" x14ac:dyDescent="0.3">
      <c r="A854" s="176" t="str">
        <f t="shared" si="14"/>
        <v/>
      </c>
    </row>
    <row r="855" spans="1:1" x14ac:dyDescent="0.3">
      <c r="A855" s="176" t="str">
        <f t="shared" si="14"/>
        <v/>
      </c>
    </row>
    <row r="856" spans="1:1" x14ac:dyDescent="0.3">
      <c r="A856" s="176" t="str">
        <f t="shared" si="14"/>
        <v/>
      </c>
    </row>
    <row r="857" spans="1:1" x14ac:dyDescent="0.3">
      <c r="A857" s="176" t="str">
        <f t="shared" si="14"/>
        <v/>
      </c>
    </row>
    <row r="858" spans="1:1" x14ac:dyDescent="0.3">
      <c r="A858" s="176" t="str">
        <f t="shared" si="14"/>
        <v/>
      </c>
    </row>
    <row r="859" spans="1:1" x14ac:dyDescent="0.3">
      <c r="A859" s="176" t="str">
        <f t="shared" ref="A859:A922" si="15">IF(B859="  Total",B859,"")</f>
        <v/>
      </c>
    </row>
    <row r="860" spans="1:1" x14ac:dyDescent="0.3">
      <c r="A860" s="176" t="str">
        <f t="shared" si="15"/>
        <v/>
      </c>
    </row>
    <row r="861" spans="1:1" x14ac:dyDescent="0.3">
      <c r="A861" s="176" t="str">
        <f t="shared" si="15"/>
        <v/>
      </c>
    </row>
    <row r="862" spans="1:1" x14ac:dyDescent="0.3">
      <c r="A862" s="176" t="str">
        <f t="shared" si="15"/>
        <v/>
      </c>
    </row>
    <row r="863" spans="1:1" x14ac:dyDescent="0.3">
      <c r="A863" s="176" t="str">
        <f t="shared" si="15"/>
        <v/>
      </c>
    </row>
    <row r="864" spans="1:1" x14ac:dyDescent="0.3">
      <c r="A864" s="176" t="str">
        <f t="shared" si="15"/>
        <v/>
      </c>
    </row>
    <row r="865" spans="1:1" x14ac:dyDescent="0.3">
      <c r="A865" s="176" t="str">
        <f t="shared" si="15"/>
        <v/>
      </c>
    </row>
    <row r="866" spans="1:1" x14ac:dyDescent="0.3">
      <c r="A866" s="176" t="str">
        <f t="shared" si="15"/>
        <v/>
      </c>
    </row>
    <row r="867" spans="1:1" x14ac:dyDescent="0.3">
      <c r="A867" s="176" t="str">
        <f t="shared" si="15"/>
        <v/>
      </c>
    </row>
    <row r="868" spans="1:1" x14ac:dyDescent="0.3">
      <c r="A868" s="176" t="str">
        <f t="shared" si="15"/>
        <v/>
      </c>
    </row>
    <row r="869" spans="1:1" x14ac:dyDescent="0.3">
      <c r="A869" s="176" t="str">
        <f t="shared" si="15"/>
        <v/>
      </c>
    </row>
    <row r="870" spans="1:1" x14ac:dyDescent="0.3">
      <c r="A870" s="176" t="str">
        <f t="shared" si="15"/>
        <v/>
      </c>
    </row>
    <row r="871" spans="1:1" x14ac:dyDescent="0.3">
      <c r="A871" s="176" t="str">
        <f t="shared" si="15"/>
        <v/>
      </c>
    </row>
    <row r="872" spans="1:1" x14ac:dyDescent="0.3">
      <c r="A872" s="176" t="str">
        <f t="shared" si="15"/>
        <v/>
      </c>
    </row>
    <row r="873" spans="1:1" x14ac:dyDescent="0.3">
      <c r="A873" s="176" t="str">
        <f t="shared" si="15"/>
        <v/>
      </c>
    </row>
    <row r="874" spans="1:1" x14ac:dyDescent="0.3">
      <c r="A874" s="176" t="str">
        <f t="shared" si="15"/>
        <v/>
      </c>
    </row>
    <row r="875" spans="1:1" x14ac:dyDescent="0.3">
      <c r="A875" s="176" t="str">
        <f t="shared" si="15"/>
        <v/>
      </c>
    </row>
    <row r="876" spans="1:1" x14ac:dyDescent="0.3">
      <c r="A876" s="176" t="str">
        <f t="shared" si="15"/>
        <v/>
      </c>
    </row>
    <row r="877" spans="1:1" x14ac:dyDescent="0.3">
      <c r="A877" s="176" t="str">
        <f t="shared" si="15"/>
        <v/>
      </c>
    </row>
    <row r="878" spans="1:1" x14ac:dyDescent="0.3">
      <c r="A878" s="176" t="str">
        <f t="shared" si="15"/>
        <v/>
      </c>
    </row>
    <row r="879" spans="1:1" x14ac:dyDescent="0.3">
      <c r="A879" s="176" t="str">
        <f t="shared" si="15"/>
        <v/>
      </c>
    </row>
    <row r="880" spans="1:1" x14ac:dyDescent="0.3">
      <c r="A880" s="176" t="str">
        <f t="shared" si="15"/>
        <v/>
      </c>
    </row>
    <row r="881" spans="1:1" x14ac:dyDescent="0.3">
      <c r="A881" s="176" t="str">
        <f t="shared" si="15"/>
        <v/>
      </c>
    </row>
    <row r="882" spans="1:1" x14ac:dyDescent="0.3">
      <c r="A882" s="176" t="str">
        <f t="shared" si="15"/>
        <v/>
      </c>
    </row>
    <row r="883" spans="1:1" x14ac:dyDescent="0.3">
      <c r="A883" s="176" t="str">
        <f t="shared" si="15"/>
        <v/>
      </c>
    </row>
    <row r="884" spans="1:1" x14ac:dyDescent="0.3">
      <c r="A884" s="176" t="str">
        <f t="shared" si="15"/>
        <v/>
      </c>
    </row>
    <row r="885" spans="1:1" x14ac:dyDescent="0.3">
      <c r="A885" s="176" t="str">
        <f t="shared" si="15"/>
        <v/>
      </c>
    </row>
    <row r="886" spans="1:1" x14ac:dyDescent="0.3">
      <c r="A886" s="176" t="str">
        <f t="shared" si="15"/>
        <v/>
      </c>
    </row>
    <row r="887" spans="1:1" x14ac:dyDescent="0.3">
      <c r="A887" s="176" t="str">
        <f t="shared" si="15"/>
        <v/>
      </c>
    </row>
    <row r="888" spans="1:1" x14ac:dyDescent="0.3">
      <c r="A888" s="176" t="str">
        <f t="shared" si="15"/>
        <v/>
      </c>
    </row>
    <row r="889" spans="1:1" x14ac:dyDescent="0.3">
      <c r="A889" s="176" t="str">
        <f t="shared" si="15"/>
        <v/>
      </c>
    </row>
    <row r="890" spans="1:1" x14ac:dyDescent="0.3">
      <c r="A890" s="176" t="str">
        <f t="shared" si="15"/>
        <v/>
      </c>
    </row>
    <row r="891" spans="1:1" x14ac:dyDescent="0.3">
      <c r="A891" s="176" t="str">
        <f t="shared" si="15"/>
        <v/>
      </c>
    </row>
    <row r="892" spans="1:1" x14ac:dyDescent="0.3">
      <c r="A892" s="176" t="str">
        <f t="shared" si="15"/>
        <v/>
      </c>
    </row>
    <row r="893" spans="1:1" x14ac:dyDescent="0.3">
      <c r="A893" s="176" t="str">
        <f t="shared" si="15"/>
        <v/>
      </c>
    </row>
    <row r="894" spans="1:1" x14ac:dyDescent="0.3">
      <c r="A894" s="176" t="str">
        <f t="shared" si="15"/>
        <v/>
      </c>
    </row>
    <row r="895" spans="1:1" x14ac:dyDescent="0.3">
      <c r="A895" s="176" t="str">
        <f t="shared" si="15"/>
        <v/>
      </c>
    </row>
    <row r="896" spans="1:1" x14ac:dyDescent="0.3">
      <c r="A896" s="176" t="str">
        <f t="shared" si="15"/>
        <v/>
      </c>
    </row>
    <row r="897" spans="1:1" x14ac:dyDescent="0.3">
      <c r="A897" s="176" t="str">
        <f t="shared" si="15"/>
        <v/>
      </c>
    </row>
    <row r="898" spans="1:1" x14ac:dyDescent="0.3">
      <c r="A898" s="176" t="str">
        <f t="shared" si="15"/>
        <v/>
      </c>
    </row>
    <row r="899" spans="1:1" x14ac:dyDescent="0.3">
      <c r="A899" s="176" t="str">
        <f t="shared" si="15"/>
        <v/>
      </c>
    </row>
    <row r="900" spans="1:1" x14ac:dyDescent="0.3">
      <c r="A900" s="176" t="str">
        <f t="shared" si="15"/>
        <v/>
      </c>
    </row>
    <row r="901" spans="1:1" x14ac:dyDescent="0.3">
      <c r="A901" s="176" t="str">
        <f t="shared" si="15"/>
        <v/>
      </c>
    </row>
    <row r="902" spans="1:1" x14ac:dyDescent="0.3">
      <c r="A902" s="176" t="str">
        <f t="shared" si="15"/>
        <v/>
      </c>
    </row>
    <row r="903" spans="1:1" x14ac:dyDescent="0.3">
      <c r="A903" s="176" t="str">
        <f t="shared" si="15"/>
        <v/>
      </c>
    </row>
    <row r="904" spans="1:1" x14ac:dyDescent="0.3">
      <c r="A904" s="176" t="str">
        <f t="shared" si="15"/>
        <v/>
      </c>
    </row>
    <row r="905" spans="1:1" x14ac:dyDescent="0.3">
      <c r="A905" s="176" t="str">
        <f t="shared" si="15"/>
        <v/>
      </c>
    </row>
    <row r="906" spans="1:1" x14ac:dyDescent="0.3">
      <c r="A906" s="176" t="str">
        <f t="shared" si="15"/>
        <v/>
      </c>
    </row>
    <row r="907" spans="1:1" x14ac:dyDescent="0.3">
      <c r="A907" s="176" t="str">
        <f t="shared" si="15"/>
        <v/>
      </c>
    </row>
    <row r="908" spans="1:1" x14ac:dyDescent="0.3">
      <c r="A908" s="176" t="str">
        <f t="shared" si="15"/>
        <v/>
      </c>
    </row>
    <row r="909" spans="1:1" x14ac:dyDescent="0.3">
      <c r="A909" s="176" t="str">
        <f t="shared" si="15"/>
        <v/>
      </c>
    </row>
    <row r="910" spans="1:1" x14ac:dyDescent="0.3">
      <c r="A910" s="176" t="str">
        <f t="shared" si="15"/>
        <v/>
      </c>
    </row>
    <row r="911" spans="1:1" x14ac:dyDescent="0.3">
      <c r="A911" s="176" t="str">
        <f t="shared" si="15"/>
        <v/>
      </c>
    </row>
    <row r="912" spans="1:1" x14ac:dyDescent="0.3">
      <c r="A912" s="176" t="str">
        <f t="shared" si="15"/>
        <v/>
      </c>
    </row>
    <row r="913" spans="1:1" x14ac:dyDescent="0.3">
      <c r="A913" s="176" t="str">
        <f t="shared" si="15"/>
        <v/>
      </c>
    </row>
    <row r="914" spans="1:1" x14ac:dyDescent="0.3">
      <c r="A914" s="176" t="str">
        <f t="shared" si="15"/>
        <v/>
      </c>
    </row>
    <row r="915" spans="1:1" x14ac:dyDescent="0.3">
      <c r="A915" s="176" t="str">
        <f t="shared" si="15"/>
        <v/>
      </c>
    </row>
    <row r="916" spans="1:1" x14ac:dyDescent="0.3">
      <c r="A916" s="176" t="str">
        <f t="shared" si="15"/>
        <v/>
      </c>
    </row>
    <row r="917" spans="1:1" x14ac:dyDescent="0.3">
      <c r="A917" s="176" t="str">
        <f t="shared" si="15"/>
        <v/>
      </c>
    </row>
    <row r="918" spans="1:1" x14ac:dyDescent="0.3">
      <c r="A918" s="176" t="str">
        <f t="shared" si="15"/>
        <v/>
      </c>
    </row>
    <row r="919" spans="1:1" x14ac:dyDescent="0.3">
      <c r="A919" s="176" t="str">
        <f t="shared" si="15"/>
        <v/>
      </c>
    </row>
    <row r="920" spans="1:1" x14ac:dyDescent="0.3">
      <c r="A920" s="176" t="str">
        <f t="shared" si="15"/>
        <v/>
      </c>
    </row>
    <row r="921" spans="1:1" x14ac:dyDescent="0.3">
      <c r="A921" s="176" t="str">
        <f t="shared" si="15"/>
        <v/>
      </c>
    </row>
    <row r="922" spans="1:1" x14ac:dyDescent="0.3">
      <c r="A922" s="176" t="str">
        <f t="shared" si="15"/>
        <v/>
      </c>
    </row>
    <row r="923" spans="1:1" x14ac:dyDescent="0.3">
      <c r="A923" s="176" t="str">
        <f t="shared" ref="A923:A929" si="16">IF(B923="  Total",B923,"")</f>
        <v/>
      </c>
    </row>
    <row r="924" spans="1:1" x14ac:dyDescent="0.3">
      <c r="A924" s="176" t="str">
        <f t="shared" si="16"/>
        <v/>
      </c>
    </row>
    <row r="925" spans="1:1" x14ac:dyDescent="0.3">
      <c r="A925" s="176" t="str">
        <f t="shared" si="16"/>
        <v/>
      </c>
    </row>
    <row r="926" spans="1:1" x14ac:dyDescent="0.3">
      <c r="A926" s="176" t="str">
        <f t="shared" si="16"/>
        <v/>
      </c>
    </row>
    <row r="927" spans="1:1" x14ac:dyDescent="0.3">
      <c r="A927" s="176" t="str">
        <f t="shared" si="16"/>
        <v/>
      </c>
    </row>
    <row r="928" spans="1:1" x14ac:dyDescent="0.3">
      <c r="A928" s="176" t="str">
        <f t="shared" si="16"/>
        <v/>
      </c>
    </row>
    <row r="929" spans="1:1" x14ac:dyDescent="0.3">
      <c r="A929" s="176" t="str">
        <f t="shared" si="16"/>
        <v/>
      </c>
    </row>
  </sheetData>
  <mergeCells count="19">
    <mergeCell ref="V215:V216"/>
    <mergeCell ref="M215:M216"/>
    <mergeCell ref="N215:N216"/>
    <mergeCell ref="O215:O216"/>
    <mergeCell ref="P215:P216"/>
    <mergeCell ref="Q215:Q216"/>
    <mergeCell ref="W215:W216"/>
    <mergeCell ref="B1:F1"/>
    <mergeCell ref="B2:F2"/>
    <mergeCell ref="B3:F3"/>
    <mergeCell ref="B4:F4"/>
    <mergeCell ref="B5:F5"/>
    <mergeCell ref="H215:H216"/>
    <mergeCell ref="K215:K216"/>
    <mergeCell ref="L215:L216"/>
    <mergeCell ref="R215:R216"/>
    <mergeCell ref="S215:S216"/>
    <mergeCell ref="T215:T216"/>
    <mergeCell ref="U215:U2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3A1E-0A64-4698-9E54-322B26DFBF75}">
  <sheetPr>
    <tabColor rgb="FFFFFF00"/>
  </sheetPr>
  <dimension ref="A3:A17"/>
  <sheetViews>
    <sheetView showGridLines="0" workbookViewId="0"/>
  </sheetViews>
  <sheetFormatPr defaultRowHeight="14.4" x14ac:dyDescent="0.3"/>
  <cols>
    <col min="1" max="1" width="36.33203125" bestFit="1" customWidth="1"/>
  </cols>
  <sheetData>
    <row r="3" spans="1:1" ht="15" thickBot="1" x14ac:dyDescent="0.35"/>
    <row r="4" spans="1:1" ht="15" thickBot="1" x14ac:dyDescent="0.35">
      <c r="A4" s="89" t="s">
        <v>211</v>
      </c>
    </row>
    <row r="5" spans="1:1" x14ac:dyDescent="0.3">
      <c r="A5" s="173" t="s">
        <v>205</v>
      </c>
    </row>
    <row r="6" spans="1:1" x14ac:dyDescent="0.3">
      <c r="A6" s="174" t="s">
        <v>206</v>
      </c>
    </row>
    <row r="7" spans="1:1" x14ac:dyDescent="0.3">
      <c r="A7" s="174" t="s">
        <v>207</v>
      </c>
    </row>
    <row r="8" spans="1:1" x14ac:dyDescent="0.3">
      <c r="A8" s="174" t="s">
        <v>165</v>
      </c>
    </row>
    <row r="9" spans="1:1" x14ac:dyDescent="0.3">
      <c r="A9" s="174" t="s">
        <v>208</v>
      </c>
    </row>
    <row r="10" spans="1:1" x14ac:dyDescent="0.3">
      <c r="A10" s="174" t="s">
        <v>210</v>
      </c>
    </row>
    <row r="11" spans="1:1" x14ac:dyDescent="0.3">
      <c r="A11" s="174" t="s">
        <v>213</v>
      </c>
    </row>
    <row r="12" spans="1:1" x14ac:dyDescent="0.3">
      <c r="A12" s="174"/>
    </row>
    <row r="13" spans="1:1" x14ac:dyDescent="0.3">
      <c r="A13" s="174"/>
    </row>
    <row r="14" spans="1:1" x14ac:dyDescent="0.3">
      <c r="A14" s="174"/>
    </row>
    <row r="15" spans="1:1" x14ac:dyDescent="0.3">
      <c r="A15" s="174"/>
    </row>
    <row r="16" spans="1:1" x14ac:dyDescent="0.3">
      <c r="A16" s="174"/>
    </row>
    <row r="17" spans="1:1" ht="15" thickBot="1" x14ac:dyDescent="0.35">
      <c r="A17" s="17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Property Summary</vt:lpstr>
      <vt:lpstr>Observatory Analysis</vt:lpstr>
      <vt:lpstr>Building Analysis</vt:lpstr>
      <vt:lpstr>ARGUS MLAs</vt:lpstr>
      <vt:lpstr>Proforma</vt:lpstr>
      <vt:lpstr>Loan Amortization</vt:lpstr>
      <vt:lpstr>Waterfall Model</vt:lpstr>
      <vt:lpstr>PASTE ARGUS EXPORTS&gt;&gt;&gt;</vt:lpstr>
      <vt:lpstr>Argus Cash Flow Drop</vt:lpstr>
      <vt:lpstr>Rent Roll Drop</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Byrd</dc:creator>
  <cp:lastModifiedBy>Guilherme Graboski Silva de Castro</cp:lastModifiedBy>
  <cp:lastPrinted>2026-02-17T18:04:42Z</cp:lastPrinted>
  <dcterms:created xsi:type="dcterms:W3CDTF">2023-11-15T12:19:27Z</dcterms:created>
  <dcterms:modified xsi:type="dcterms:W3CDTF">2026-02-17T23:03:04Z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escription" linkTarget="prop_description">
    <vt:r8>0</vt:r8>
  </property>
  <property fmtid="{D5CDD505-2E9C-101B-9397-08002B2CF9AE}" pid="3" name="type" linkTarget="prop_type">
    <vt:r8>0</vt:r8>
  </property>
</Properties>
</file>